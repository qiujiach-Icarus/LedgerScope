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 activeTab="7"/>
  </bookViews>
  <sheets>
    <sheet name="租金" sheetId="1" r:id="rId1"/>
    <sheet name="管理费用" sheetId="3" r:id="rId2"/>
    <sheet name="税金" sheetId="2" r:id="rId3"/>
    <sheet name="工资" sheetId="4" r:id="rId4"/>
    <sheet name="社保 " sheetId="7" r:id="rId5"/>
    <sheet name="营业外支出" sheetId="8" r:id="rId6"/>
    <sheet name="公积金" sheetId="9" r:id="rId7"/>
    <sheet name="其他应付款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<sst xmlns="http://schemas.openxmlformats.org/spreadsheetml/2006/main" count="2970" uniqueCount="1017">
  <si>
    <t>年度</t>
  </si>
  <si>
    <t>凭证号</t>
  </si>
  <si>
    <t>单位名称</t>
  </si>
  <si>
    <t>内容</t>
  </si>
  <si>
    <t>不含税金额</t>
  </si>
  <si>
    <t>税金</t>
  </si>
  <si>
    <t>价税合计</t>
  </si>
  <si>
    <t>发票类型</t>
  </si>
  <si>
    <t>发票号码</t>
  </si>
  <si>
    <t>发票时间</t>
  </si>
  <si>
    <t>位置</t>
  </si>
  <si>
    <t>面积</t>
  </si>
  <si>
    <t>备注</t>
  </si>
  <si>
    <t>温州市丰华化工原料有限公司</t>
  </si>
  <si>
    <t>房屋租赁</t>
  </si>
  <si>
    <t>电子发票（普通发票）</t>
  </si>
  <si>
    <t>NO.15609139</t>
  </si>
  <si>
    <t>2021.1.31</t>
  </si>
  <si>
    <t>23m²</t>
  </si>
  <si>
    <t>收2021.1.1-2021.6.30租金</t>
  </si>
  <si>
    <t>温州市瓯越明珠娱乐有限公司</t>
  </si>
  <si>
    <t>NO.15609140</t>
  </si>
  <si>
    <t>2021.2.26</t>
  </si>
  <si>
    <t>408、409</t>
  </si>
  <si>
    <t>70m²</t>
  </si>
  <si>
    <t>收2021.2.18-2021.5.17租金</t>
  </si>
  <si>
    <t>邵兴掌</t>
  </si>
  <si>
    <t>NO.15609141</t>
  </si>
  <si>
    <t>2021.3.10</t>
  </si>
  <si>
    <t>40m²</t>
  </si>
  <si>
    <t>收2021.2.1-2021.7.31租金</t>
  </si>
  <si>
    <t>刘道玉</t>
  </si>
  <si>
    <t>NO.15609142</t>
  </si>
  <si>
    <t>2021.3.17</t>
  </si>
  <si>
    <t>35m²</t>
  </si>
  <si>
    <t>收2020.9.1-2021.2.28租金</t>
  </si>
  <si>
    <t>NO.15609143</t>
  </si>
  <si>
    <t>2021.5.20</t>
  </si>
  <si>
    <t>收408、419室2021.5.18-2021.8.17租金7200</t>
  </si>
  <si>
    <t>406室2021.5.1-2021.7.31租金3900元</t>
  </si>
  <si>
    <t>温州泽洋电力设备有限公司</t>
  </si>
  <si>
    <t>NO.15609144</t>
  </si>
  <si>
    <t>2021.6.10</t>
  </si>
  <si>
    <t>收2021.5.21-2021.11.20租金</t>
  </si>
  <si>
    <t>王梦良（412室）</t>
  </si>
  <si>
    <t>NO.15609145</t>
  </si>
  <si>
    <t>2021.6.30</t>
  </si>
  <si>
    <t>37m²</t>
  </si>
  <si>
    <t>收2021.5.18-2021.8.17租金</t>
  </si>
  <si>
    <t>NO.15609149</t>
  </si>
  <si>
    <t>2021.8.26</t>
  </si>
  <si>
    <t>收2021.3.1-2021.8.31租金</t>
  </si>
  <si>
    <t>NO.15609148</t>
  </si>
  <si>
    <t>收2021.8.1-2022.1.31租金</t>
  </si>
  <si>
    <t>NO.15609147</t>
  </si>
  <si>
    <t>收2021.7.1-2021.9.30租金</t>
  </si>
  <si>
    <t>NO.15609146</t>
  </si>
  <si>
    <t>收408、419室2021.8.1-2021.10.31租金7200元</t>
  </si>
  <si>
    <t>406室2021.8.18-2021.11.17租金3900元</t>
  </si>
  <si>
    <t>NO.15609151</t>
  </si>
  <si>
    <t>2021.12.22</t>
  </si>
  <si>
    <t>收2021.11.21-2022.5.20租金</t>
  </si>
  <si>
    <t>NO.15609150</t>
  </si>
  <si>
    <t>收2021.8.22-2021.11.21租金</t>
  </si>
  <si>
    <t>温州市玥岚贸易有限公司</t>
  </si>
  <si>
    <t>NO.15609152</t>
  </si>
  <si>
    <t>2022.3.9</t>
  </si>
  <si>
    <t>收2021.10.8-2022.10.7租金</t>
  </si>
  <si>
    <t>NO.15609153</t>
  </si>
  <si>
    <t>收2021.11.18-2022.2.17租金（406、408、412、419）</t>
  </si>
  <si>
    <t>NO.15609154</t>
  </si>
  <si>
    <t>收2021.9.1-2022.2.28租金</t>
  </si>
  <si>
    <t>NO.15609155</t>
  </si>
  <si>
    <t>2022.4.8</t>
  </si>
  <si>
    <t>收2022.2.1-2022.7.31租金</t>
  </si>
  <si>
    <t>NO.15609156</t>
  </si>
  <si>
    <t>2022.7.6</t>
  </si>
  <si>
    <t>收2022.5.1-2022.7.31租金（406、408、412、419）</t>
  </si>
  <si>
    <t>NO.15609157</t>
  </si>
  <si>
    <t>2022.9.6</t>
  </si>
  <si>
    <t>收2022.8.1-2022.10.31租金（406、408、412、420）</t>
  </si>
  <si>
    <t>NO.18797677</t>
  </si>
  <si>
    <t>2023.6.13</t>
  </si>
  <si>
    <t>收2022.11.1-2023.1.31租金（406、408、412、421）</t>
  </si>
  <si>
    <t>NO.18797678</t>
  </si>
  <si>
    <t>收2023.2.1-2023.4.30租金（406、408、412、422）</t>
  </si>
  <si>
    <t>NO.18797679</t>
  </si>
  <si>
    <t>收2023.5.1-2023.7.31租金（406、408、412、423）</t>
  </si>
  <si>
    <t>NO.18797680</t>
  </si>
  <si>
    <t>2023.7.22</t>
  </si>
  <si>
    <t>收2022.8.1-2023.7.31租金</t>
  </si>
  <si>
    <t>NO.18797682</t>
  </si>
  <si>
    <t>收2022.10.8-2023.10.7租金</t>
  </si>
  <si>
    <t>王梦良（409室）</t>
  </si>
  <si>
    <t>NO.18797681</t>
  </si>
  <si>
    <t>收2023.3.10-2023.7.9租金</t>
  </si>
  <si>
    <t>杨利（407、420室）</t>
  </si>
  <si>
    <t>NO.18797683</t>
  </si>
  <si>
    <t>407、420</t>
  </si>
  <si>
    <t>收2023.3.18-2023.6.17租金</t>
  </si>
  <si>
    <t>NO.18797684</t>
  </si>
  <si>
    <t>收2023.6.18-2023.9.17租金</t>
  </si>
  <si>
    <t>NO.18797686</t>
  </si>
  <si>
    <t>2024.1.8</t>
  </si>
  <si>
    <t>收2023.8.4-2024.1.31租金</t>
  </si>
  <si>
    <t>NO.18797685</t>
  </si>
  <si>
    <t>收2023.10.8-2024.10.7租金</t>
  </si>
  <si>
    <t>NO.</t>
  </si>
  <si>
    <t>摘要</t>
  </si>
  <si>
    <t>付电信费</t>
  </si>
  <si>
    <t>通信费</t>
  </si>
  <si>
    <t>中国电信股份有限公司</t>
  </si>
  <si>
    <t>NO.85985468</t>
  </si>
  <si>
    <t>2021.1.4</t>
  </si>
  <si>
    <t>付电费</t>
  </si>
  <si>
    <t>电费</t>
  </si>
  <si>
    <t>温州电力局</t>
  </si>
  <si>
    <t>NO.21865838</t>
  </si>
  <si>
    <t>购复印纸及粉盒</t>
  </si>
  <si>
    <t>复印纸、粉盒</t>
  </si>
  <si>
    <t>温州市鹿城区大南凌月办公耗材店</t>
  </si>
  <si>
    <t>NO.84025234</t>
  </si>
  <si>
    <t>2021.1.18</t>
  </si>
  <si>
    <t>付交运费、清洁打扫费等</t>
  </si>
  <si>
    <t>交运费</t>
  </si>
  <si>
    <t>温州交运集团有限公司</t>
  </si>
  <si>
    <t>无人售票报销凭证</t>
  </si>
  <si>
    <t>2021.1.27</t>
  </si>
  <si>
    <t>垃圾袋</t>
  </si>
  <si>
    <t>温州市鹿城区中荣眉塑料薄膜店</t>
  </si>
  <si>
    <t>收款收据</t>
  </si>
  <si>
    <t>NO.0110310</t>
  </si>
  <si>
    <t>卫生清洁费</t>
  </si>
  <si>
    <t>四达公司温州联络处-李玉芬</t>
  </si>
  <si>
    <t>领款凭证</t>
  </si>
  <si>
    <t>收瓯越明珠电费</t>
  </si>
  <si>
    <t>NO.1055883</t>
  </si>
  <si>
    <t>管理费</t>
  </si>
  <si>
    <t>NO.1055884</t>
  </si>
  <si>
    <t>NO.86071076</t>
  </si>
  <si>
    <t>2021.2.5</t>
  </si>
  <si>
    <t>NO.23490256</t>
  </si>
  <si>
    <t>付交运费及清洁打扫费等</t>
  </si>
  <si>
    <t>车费</t>
  </si>
  <si>
    <t>收邵兴掌综合管理费及室内电费</t>
  </si>
  <si>
    <t>NO.1055886</t>
  </si>
  <si>
    <t>收刘道玉室内电费</t>
  </si>
  <si>
    <t>NO.1055887</t>
  </si>
  <si>
    <t>NO.85469189</t>
  </si>
  <si>
    <t>2021.3.4</t>
  </si>
  <si>
    <t>NO.24871079</t>
  </si>
  <si>
    <t>付交运费及清洁打扫费</t>
  </si>
  <si>
    <t>2021.3.29</t>
  </si>
  <si>
    <t>2021.3.31</t>
  </si>
  <si>
    <t>NO.85614938</t>
  </si>
  <si>
    <t>2021.4.6</t>
  </si>
  <si>
    <t>NO.24988556</t>
  </si>
  <si>
    <t>付交运费、清洁费及清洁用品</t>
  </si>
  <si>
    <t>清洁剂</t>
  </si>
  <si>
    <t>温州市鹿城区市中新欣清洁用品店</t>
  </si>
  <si>
    <t>NO.01591929</t>
  </si>
  <si>
    <t>2021.4.19</t>
  </si>
  <si>
    <t>2021.4.28</t>
  </si>
  <si>
    <t>清洁费</t>
  </si>
  <si>
    <t>2021.4.30</t>
  </si>
  <si>
    <t>收瓯越明珠管理费及室内电费</t>
  </si>
  <si>
    <t>NO.1055888</t>
  </si>
  <si>
    <t>NO.1055889</t>
  </si>
  <si>
    <t>NO.85581462</t>
  </si>
  <si>
    <t>2021.5.6</t>
  </si>
  <si>
    <t>NO.32642845</t>
  </si>
  <si>
    <t>付2020年度审计费</t>
  </si>
  <si>
    <t>审计费</t>
  </si>
  <si>
    <t>温州中源立德会计师事务所有限公司</t>
  </si>
  <si>
    <t>NO.92458432</t>
  </si>
  <si>
    <t>2021.5.18</t>
  </si>
  <si>
    <t>付修理费、交运费等</t>
  </si>
  <si>
    <t>餐费</t>
  </si>
  <si>
    <t>温州市鹿城区水心元花点心店</t>
  </si>
  <si>
    <t>NO.6596678</t>
  </si>
  <si>
    <t>2021.5.10</t>
  </si>
  <si>
    <t>NO.0001384</t>
  </si>
  <si>
    <t>2021.5.17</t>
  </si>
  <si>
    <t>打印</t>
  </si>
  <si>
    <t>温州市鹿城区松台金典图文店</t>
  </si>
  <si>
    <t>NO.0000802</t>
  </si>
  <si>
    <t>2021.5.19</t>
  </si>
  <si>
    <t>新宏图文</t>
  </si>
  <si>
    <t>NO.6531245</t>
  </si>
  <si>
    <t>门阀</t>
  </si>
  <si>
    <t>温州市鹿城区广化程正国五金店</t>
  </si>
  <si>
    <t>NO.6877144</t>
  </si>
  <si>
    <t>修理费</t>
  </si>
  <si>
    <t>四达公司温州联络处-陈洪贵</t>
  </si>
  <si>
    <t>2021.5.14</t>
  </si>
  <si>
    <t>疏通费</t>
  </si>
  <si>
    <t>四达公司温州联络处-张业盛</t>
  </si>
  <si>
    <t>2021.5.24</t>
  </si>
  <si>
    <t>垃圾清运费</t>
  </si>
  <si>
    <t>四达公司温州联络处-张培龙</t>
  </si>
  <si>
    <t>2021.5.27</t>
  </si>
  <si>
    <t>清洁刷</t>
  </si>
  <si>
    <t>温州市鹿城区中胜权五金店</t>
  </si>
  <si>
    <t>NO.6620562</t>
  </si>
  <si>
    <t>2021.5.11</t>
  </si>
  <si>
    <t>浙江省温州市出租车行业</t>
  </si>
  <si>
    <t>NO.25265456</t>
  </si>
  <si>
    <t>2021.5.13</t>
  </si>
  <si>
    <t>2021.5.31</t>
  </si>
  <si>
    <t>收瓯越明珠406电费</t>
  </si>
  <si>
    <t>NO.1055890</t>
  </si>
  <si>
    <t>2021.6.17</t>
  </si>
  <si>
    <t>收瓯越明珠408电费</t>
  </si>
  <si>
    <t>收瓯越明珠419电费</t>
  </si>
  <si>
    <t>收王梦良（412室）管理费及电费</t>
  </si>
  <si>
    <t>NO.1055891</t>
  </si>
  <si>
    <t>付通信费</t>
  </si>
  <si>
    <t>NO.85805448</t>
  </si>
  <si>
    <t>2021.6.7</t>
  </si>
  <si>
    <t>NO.33560669</t>
  </si>
  <si>
    <t>付寄费</t>
  </si>
  <si>
    <t>邮票</t>
  </si>
  <si>
    <t>中国邮政集团有限公司温州市分公司</t>
  </si>
  <si>
    <t>NO.20614265</t>
  </si>
  <si>
    <t>2021.6.3</t>
  </si>
  <si>
    <t>付电表安装及材料费</t>
  </si>
  <si>
    <t>安装费</t>
  </si>
  <si>
    <t>2021.6.4</t>
  </si>
  <si>
    <t>电表、电表箱等</t>
  </si>
  <si>
    <t>新浪五金电器批发部</t>
  </si>
  <si>
    <t>NO.1012202</t>
  </si>
  <si>
    <t>电缆线</t>
  </si>
  <si>
    <t>窗门锁</t>
  </si>
  <si>
    <t>程</t>
  </si>
  <si>
    <t>NO.6562469</t>
  </si>
  <si>
    <t>付420室地面清理费</t>
  </si>
  <si>
    <t>清理费</t>
  </si>
  <si>
    <t>四达公司温州联络处-潘香姝</t>
  </si>
  <si>
    <t>2021.6.8</t>
  </si>
  <si>
    <t>付KT板制作费</t>
  </si>
  <si>
    <t>KT板</t>
  </si>
  <si>
    <t>NO.0000749</t>
  </si>
  <si>
    <t>制作费</t>
  </si>
  <si>
    <t>NO.0000732</t>
  </si>
  <si>
    <t>2021.6.16</t>
  </si>
  <si>
    <t>付电脑服务费及空调加液</t>
  </si>
  <si>
    <t>服务费</t>
  </si>
  <si>
    <t>温州市鹿城佳信电脑</t>
  </si>
  <si>
    <t>NO.0015965</t>
  </si>
  <si>
    <t>空调费用</t>
  </si>
  <si>
    <t>四达公司温州联络处-朱东兴</t>
  </si>
  <si>
    <t>2021.6.18</t>
  </si>
  <si>
    <t>付419电路挖修费及卫生间配收电费</t>
  </si>
  <si>
    <t>劳务费</t>
  </si>
  <si>
    <t>水桶</t>
  </si>
  <si>
    <t>NO.66613113</t>
  </si>
  <si>
    <t>2021.6.21</t>
  </si>
  <si>
    <t>灯线</t>
  </si>
  <si>
    <t>NO.6613106</t>
  </si>
  <si>
    <t>卫生夹</t>
  </si>
  <si>
    <t>胖子五金材料经营部</t>
  </si>
  <si>
    <t>NO.7536303</t>
  </si>
  <si>
    <t>购入灭火器、清洁费、车费等</t>
  </si>
  <si>
    <t>灭火器、灭火箱</t>
  </si>
  <si>
    <t>温州市鹿城区南立顺消防器材店</t>
  </si>
  <si>
    <t>NO.6833511</t>
  </si>
  <si>
    <t>胶水刷</t>
  </si>
  <si>
    <t>四达公司温州联络处-郑</t>
  </si>
  <si>
    <t>打扫清洁费</t>
  </si>
  <si>
    <t>打车费</t>
  </si>
  <si>
    <t>2021.6.28</t>
  </si>
  <si>
    <t>收瓯越明珠406、408、419电费</t>
  </si>
  <si>
    <t>406电费</t>
  </si>
  <si>
    <t>NO.1055892</t>
  </si>
  <si>
    <t>2021.7.17</t>
  </si>
  <si>
    <t>408电费</t>
  </si>
  <si>
    <t>419电费</t>
  </si>
  <si>
    <t>NO.85626981</t>
  </si>
  <si>
    <t>2021.7.5</t>
  </si>
  <si>
    <t>NO.34655309</t>
  </si>
  <si>
    <t>购入整理箱</t>
  </si>
  <si>
    <t>整理箱</t>
  </si>
  <si>
    <t>温州市鹿城区五马货郎日用品店</t>
  </si>
  <si>
    <t>NO.14422925</t>
  </si>
  <si>
    <t>2021.7.26</t>
  </si>
  <si>
    <t>日杂用品</t>
  </si>
  <si>
    <t>NO.28648649</t>
  </si>
  <si>
    <t>2021.7.15</t>
  </si>
  <si>
    <t>开、修锁和保险箱</t>
  </si>
  <si>
    <t>配电费</t>
  </si>
  <si>
    <t>四达公司温州联络处-周巧林</t>
  </si>
  <si>
    <t>2021.7.2</t>
  </si>
  <si>
    <t>四达公司温州联络处-王松青</t>
  </si>
  <si>
    <t>2021.7.14</t>
  </si>
  <si>
    <t>开锁费</t>
  </si>
  <si>
    <t>四达公司温州联络处-孙云东</t>
  </si>
  <si>
    <t>2021.7.20</t>
  </si>
  <si>
    <t>419、407空调加液</t>
  </si>
  <si>
    <t>制冷剂</t>
  </si>
  <si>
    <t>制冷剂、修理费</t>
  </si>
  <si>
    <t>7月打扫卫生清洁费及KT板制作</t>
  </si>
  <si>
    <t>2021.7.31</t>
  </si>
  <si>
    <t>打印费</t>
  </si>
  <si>
    <t>NO.0000723</t>
  </si>
  <si>
    <t>2021.6.29</t>
  </si>
  <si>
    <t>NO.4876412</t>
  </si>
  <si>
    <t>付交运费</t>
  </si>
  <si>
    <t>交通费</t>
  </si>
  <si>
    <t>停车费</t>
  </si>
  <si>
    <t>温州市百安物业管理有限公司</t>
  </si>
  <si>
    <t>定额发票</t>
  </si>
  <si>
    <t>2021.7.21</t>
  </si>
  <si>
    <t>快递费</t>
  </si>
  <si>
    <t>中国邮政速递物流股份有限公司温州分公司</t>
  </si>
  <si>
    <t>收王梦良电费</t>
  </si>
  <si>
    <t>王梦良</t>
  </si>
  <si>
    <t>NO.1055896</t>
  </si>
  <si>
    <t>管理及电费</t>
  </si>
  <si>
    <t>NO.1055895</t>
  </si>
  <si>
    <t>收瓯越明珠综合管理费</t>
  </si>
  <si>
    <t>NO.1055893</t>
  </si>
  <si>
    <t>2021.8.21</t>
  </si>
  <si>
    <t>收瓯越明珠室内电费</t>
  </si>
  <si>
    <t>NO.1055894</t>
  </si>
  <si>
    <t>NO.85520608</t>
  </si>
  <si>
    <t>2021.8.7</t>
  </si>
  <si>
    <t>NO.34492042</t>
  </si>
  <si>
    <t>付8月卫生费、电源维修费及配件</t>
  </si>
  <si>
    <t>2021.8.20</t>
  </si>
  <si>
    <t>维修费</t>
  </si>
  <si>
    <t>温州市鹿城区市中荣眉塑料薄膜店</t>
  </si>
  <si>
    <t>NO.0133268</t>
  </si>
  <si>
    <t>付交运费及办公用品</t>
  </si>
  <si>
    <t>2021.8.28</t>
  </si>
  <si>
    <t>文具</t>
  </si>
  <si>
    <t>温州市鹿城区市中登峰文具店</t>
  </si>
  <si>
    <t>NO.15305681</t>
  </si>
  <si>
    <t>付8月电费</t>
  </si>
  <si>
    <t>NO.36120414</t>
  </si>
  <si>
    <t>2021.9.9</t>
  </si>
  <si>
    <t>NO.85377701</t>
  </si>
  <si>
    <t>2021.9.4</t>
  </si>
  <si>
    <t>付交通费</t>
  </si>
  <si>
    <t>2021.9.29</t>
  </si>
  <si>
    <t>付8月清洁费</t>
  </si>
  <si>
    <t>四达公司温州联络处-李梅</t>
  </si>
  <si>
    <t>NO.1055897</t>
  </si>
  <si>
    <t>2021.10.22</t>
  </si>
  <si>
    <t>NO.85444719</t>
  </si>
  <si>
    <t>2021.10.8</t>
  </si>
  <si>
    <t>NO.36745248</t>
  </si>
  <si>
    <t>NO.85561527</t>
  </si>
  <si>
    <t>2021.11.4</t>
  </si>
  <si>
    <t>NO.64499259</t>
  </si>
  <si>
    <t>付卫生打扫清洁费</t>
  </si>
  <si>
    <t>2021.11.29</t>
  </si>
  <si>
    <t>收温州市瓯越明珠综合管理费及电费</t>
  </si>
  <si>
    <t>NO.1055898</t>
  </si>
  <si>
    <t>NO.1055899</t>
  </si>
  <si>
    <t>NO.1055900</t>
  </si>
  <si>
    <t>406、408、419</t>
  </si>
  <si>
    <t>NO.85838015</t>
  </si>
  <si>
    <t>2021.12.6</t>
  </si>
  <si>
    <t>NO.65010239</t>
  </si>
  <si>
    <t>购入清洁剂及交通费</t>
  </si>
  <si>
    <t>NO.85136547</t>
  </si>
  <si>
    <t>2021.12.10</t>
  </si>
  <si>
    <t>2021.12.31</t>
  </si>
  <si>
    <t>NO.65822506</t>
  </si>
  <si>
    <t>2022.1.5</t>
  </si>
  <si>
    <t>NO.64971794</t>
  </si>
  <si>
    <t>2022.1.24</t>
  </si>
  <si>
    <t>NO.66028276</t>
  </si>
  <si>
    <t>2022.2.8</t>
  </si>
  <si>
    <t>NO.66841579</t>
  </si>
  <si>
    <t>付卫生间清洁费</t>
  </si>
  <si>
    <t>2022.2.28</t>
  </si>
  <si>
    <t>收温州市瓯越明珠综合管理费</t>
  </si>
  <si>
    <t>NO.1055851</t>
  </si>
  <si>
    <t>NO.1055852</t>
  </si>
  <si>
    <t>2022.3.14</t>
  </si>
  <si>
    <t>NO.65781788</t>
  </si>
  <si>
    <t>2022.3.7</t>
  </si>
  <si>
    <t>NO.67429436</t>
  </si>
  <si>
    <t>2022.3.30</t>
  </si>
  <si>
    <t>收邵兴掌室内电费</t>
  </si>
  <si>
    <t>NO.1055853</t>
  </si>
  <si>
    <t>NO.65810160</t>
  </si>
  <si>
    <t>2022.4.6</t>
  </si>
  <si>
    <t>NO.68900494</t>
  </si>
  <si>
    <t>2022.4.7</t>
  </si>
  <si>
    <t>2022.4.26</t>
  </si>
  <si>
    <t>收温州泽洋电力设备有限公司电费</t>
  </si>
  <si>
    <t>NO.1055854</t>
  </si>
  <si>
    <t>2022.5.24</t>
  </si>
  <si>
    <t>NO.65840262</t>
  </si>
  <si>
    <t>2022.5.5</t>
  </si>
  <si>
    <t>NO.68833944</t>
  </si>
  <si>
    <t>2022.5.12</t>
  </si>
  <si>
    <t>2022.5.31</t>
  </si>
  <si>
    <t>付5月卫生清洁费</t>
  </si>
  <si>
    <t>NO.65794894</t>
  </si>
  <si>
    <t>2022.6.8</t>
  </si>
  <si>
    <t>NO.68858405</t>
  </si>
  <si>
    <t>付车费.换412电表家劳务费.卫生清洁费</t>
  </si>
  <si>
    <t>2022.6.15</t>
  </si>
  <si>
    <t>电表</t>
  </si>
  <si>
    <t>温州市鹿城区市中胜权五金店</t>
  </si>
  <si>
    <t>NO.6613063</t>
  </si>
  <si>
    <t>2022.6.21</t>
  </si>
  <si>
    <t>2022.6.30</t>
  </si>
  <si>
    <t>收温州市瓯越明珠2022.5.1-7.31综合管理费</t>
  </si>
  <si>
    <t>NO.1055855</t>
  </si>
  <si>
    <t>收温州市瓯越明珠2022.2.18-4.30综合管理费</t>
  </si>
  <si>
    <t>NO.1055857</t>
  </si>
  <si>
    <t>收瓯越明珠公司电费</t>
  </si>
  <si>
    <t>NO.1055856</t>
  </si>
  <si>
    <t>收瓯越明珠公司电费412室</t>
  </si>
  <si>
    <t>NO.1055858</t>
  </si>
  <si>
    <t>NO.1055859</t>
  </si>
  <si>
    <t>2022.7.27</t>
  </si>
  <si>
    <t>NO.94531589</t>
  </si>
  <si>
    <t>NO.68942686</t>
  </si>
  <si>
    <t>2022.7.3</t>
  </si>
  <si>
    <t>408换电表及修理费</t>
  </si>
  <si>
    <t>付车费</t>
  </si>
  <si>
    <t>2022.7.24</t>
  </si>
  <si>
    <t>付卫生清洁费</t>
  </si>
  <si>
    <t>2022.7.31</t>
  </si>
  <si>
    <t>NO.94481301</t>
  </si>
  <si>
    <t>2022.8.3</t>
  </si>
  <si>
    <t>NO.68983196</t>
  </si>
  <si>
    <t>2022.8.4</t>
  </si>
  <si>
    <t>付车费及8月清洁费</t>
  </si>
  <si>
    <t>2022.8.24</t>
  </si>
  <si>
    <t>2022.8.31</t>
  </si>
  <si>
    <t>收瓯越明珠综合管理费及室内电费</t>
  </si>
  <si>
    <t>NO.1055860</t>
  </si>
  <si>
    <t>NO.1055861</t>
  </si>
  <si>
    <t>NO.1055862</t>
  </si>
  <si>
    <t>2022.9.21</t>
  </si>
  <si>
    <t>NO.94728124</t>
  </si>
  <si>
    <t>2022.9.3</t>
  </si>
  <si>
    <t>NO.96445725</t>
  </si>
  <si>
    <t>付车费、快递费、9月清洁费</t>
  </si>
  <si>
    <t>2022.9.30</t>
  </si>
  <si>
    <t>NO.00009231</t>
  </si>
  <si>
    <t>2022.9.9</t>
  </si>
  <si>
    <t>NO.1055863</t>
  </si>
  <si>
    <t>2022.10.10</t>
  </si>
  <si>
    <t>NO.94669601</t>
  </si>
  <si>
    <t>2022.10.5</t>
  </si>
  <si>
    <t>NO.98217401</t>
  </si>
  <si>
    <t>付交通费、邮件费及10月卫生清洁费</t>
  </si>
  <si>
    <t>NO.01044562</t>
  </si>
  <si>
    <t>2022.10.20</t>
  </si>
  <si>
    <t>NO.13940689</t>
  </si>
  <si>
    <t>邮件费</t>
  </si>
  <si>
    <t>浙江温州府前1</t>
  </si>
  <si>
    <t>国内挂号信函收据</t>
  </si>
  <si>
    <t>2022.10.27</t>
  </si>
  <si>
    <t>2022.10.31</t>
  </si>
  <si>
    <t>NO.94676183</t>
  </si>
  <si>
    <t>2022.11.6</t>
  </si>
  <si>
    <t>NO.97653860</t>
  </si>
  <si>
    <t>快递费、交运费、清洁费等</t>
  </si>
  <si>
    <t>邮件交寄单（收据）</t>
  </si>
  <si>
    <t>2022.1.9</t>
  </si>
  <si>
    <t>2022.11.29</t>
  </si>
  <si>
    <t>2022.11.30</t>
  </si>
  <si>
    <t>粉盒</t>
  </si>
  <si>
    <t>温州市鹿城区大南红丽办公用品店</t>
  </si>
  <si>
    <t>NO.52502444</t>
  </si>
  <si>
    <t>NO.94649190</t>
  </si>
  <si>
    <t>2022.12.5</t>
  </si>
  <si>
    <t>NO.55446926</t>
  </si>
  <si>
    <t>2022.12.6</t>
  </si>
  <si>
    <t>付12月清洁费</t>
  </si>
  <si>
    <t>2022.12.30</t>
  </si>
  <si>
    <t>NO.55700929</t>
  </si>
  <si>
    <t>2023.1.6</t>
  </si>
  <si>
    <t>NO.56621646</t>
  </si>
  <si>
    <t>2023.1.31</t>
  </si>
  <si>
    <t>NO.55884991</t>
  </si>
  <si>
    <t>2023.2.3</t>
  </si>
  <si>
    <t>NO.57133395</t>
  </si>
  <si>
    <t>付卫生清洁整理费</t>
  </si>
  <si>
    <t>2023.2.28</t>
  </si>
  <si>
    <t>NO.55741376</t>
  </si>
  <si>
    <t>2023.3.4</t>
  </si>
  <si>
    <t>NO.58177712</t>
  </si>
  <si>
    <t>电脑维修</t>
  </si>
  <si>
    <t>温州市鹿城区蒲鞋市佳信电脑维修部</t>
  </si>
  <si>
    <t>NO.44167451</t>
  </si>
  <si>
    <t>2023.3.15</t>
  </si>
  <si>
    <t>买水泵</t>
  </si>
  <si>
    <t>水泵</t>
  </si>
  <si>
    <t>温州市鹿城区锦财五金机电经营部</t>
  </si>
  <si>
    <t>NO.67148931</t>
  </si>
  <si>
    <t>2023.3.23</t>
  </si>
  <si>
    <t>电梯间门锁及清理402室、大厅通道等</t>
  </si>
  <si>
    <t>门锁</t>
  </si>
  <si>
    <t>2023.3.14</t>
  </si>
  <si>
    <t>四达公司温州联络处-毛传宏</t>
  </si>
  <si>
    <t>2023.3.20</t>
  </si>
  <si>
    <t>2023.3.21</t>
  </si>
  <si>
    <t>修理费及配件</t>
  </si>
  <si>
    <t>四达公司温州联络处-陈刚</t>
  </si>
  <si>
    <t>外出办事交通费</t>
  </si>
  <si>
    <t>2023.3.16</t>
  </si>
  <si>
    <t>NO.55775316</t>
  </si>
  <si>
    <t>2023.4.10</t>
  </si>
  <si>
    <t>NO.58183636</t>
  </si>
  <si>
    <t>2023.4.30</t>
  </si>
  <si>
    <t>修理卫生间等</t>
  </si>
  <si>
    <t>浙江省电子税务局</t>
  </si>
  <si>
    <t>NO.38233477</t>
  </si>
  <si>
    <t>2023.4.23</t>
  </si>
  <si>
    <t>NO.55641942</t>
  </si>
  <si>
    <t>2023.5.4</t>
  </si>
  <si>
    <t>NO.58763820</t>
  </si>
  <si>
    <t>付车费及印刷费用</t>
  </si>
  <si>
    <t>2023.5.12</t>
  </si>
  <si>
    <t>广告制作</t>
  </si>
  <si>
    <t>NO.81892757</t>
  </si>
  <si>
    <t>收瓯越明珠室公共水电费及内电费</t>
  </si>
  <si>
    <t>公用水电费</t>
  </si>
  <si>
    <t>NO.1055864</t>
  </si>
  <si>
    <t>NO.1055872</t>
  </si>
  <si>
    <t>NO.1055867</t>
  </si>
  <si>
    <t>NO.1055868</t>
  </si>
  <si>
    <t>NO.1055869</t>
  </si>
  <si>
    <t>NO.1055870</t>
  </si>
  <si>
    <t>NO.1055871</t>
  </si>
  <si>
    <t>NO.1055865</t>
  </si>
  <si>
    <t>NO.82958860</t>
  </si>
  <si>
    <t>2023.6.6</t>
  </si>
  <si>
    <t>NO.62816543</t>
  </si>
  <si>
    <t>2023.6.30</t>
  </si>
  <si>
    <t>收王梦良室内电费</t>
  </si>
  <si>
    <t>NO.1055873</t>
  </si>
  <si>
    <t>收杨利公共水电费及室内电费</t>
  </si>
  <si>
    <t>杨利</t>
  </si>
  <si>
    <t>NO.1610026</t>
  </si>
  <si>
    <t>NO.1055874</t>
  </si>
  <si>
    <t>NO.1610027</t>
  </si>
  <si>
    <t>NO.1055875</t>
  </si>
  <si>
    <t>NO.62817221</t>
  </si>
  <si>
    <t>2023.7.3</t>
  </si>
  <si>
    <t>NO.63324720</t>
  </si>
  <si>
    <t>付复印费、车费</t>
  </si>
  <si>
    <t>复印费</t>
  </si>
  <si>
    <t>NO.82627827</t>
  </si>
  <si>
    <t>2023.7.7</t>
  </si>
  <si>
    <t>NO.62876908</t>
  </si>
  <si>
    <t>2023.8.7</t>
  </si>
  <si>
    <t>NO.64678970</t>
  </si>
  <si>
    <t>付车费及复印费</t>
  </si>
  <si>
    <t>2023.8.31</t>
  </si>
  <si>
    <t>打印资料</t>
  </si>
  <si>
    <t>NO.91263048</t>
  </si>
  <si>
    <t>2023.8.30</t>
  </si>
  <si>
    <t>收瓯越明珠公司室内电费</t>
  </si>
  <si>
    <t>NO.1610028</t>
  </si>
  <si>
    <t>2023.9.7</t>
  </si>
  <si>
    <t>NO.62883139</t>
  </si>
  <si>
    <t>2023.9.4</t>
  </si>
  <si>
    <t>NO.65670251</t>
  </si>
  <si>
    <t>购入杀虫剂</t>
  </si>
  <si>
    <t>杀虫剂</t>
  </si>
  <si>
    <t>温州市鹿城区鼓楼肖正清便利店</t>
  </si>
  <si>
    <t>NO.23332000000016005846</t>
  </si>
  <si>
    <t>2023.9.18</t>
  </si>
  <si>
    <t>付9月通信费</t>
  </si>
  <si>
    <t>NO.62891840</t>
  </si>
  <si>
    <t>2023.10.7</t>
  </si>
  <si>
    <t>NO.66336815</t>
  </si>
  <si>
    <t>购入办公用品</t>
  </si>
  <si>
    <t>办公用品</t>
  </si>
  <si>
    <t>温州市鹿城区中登峰文具店</t>
  </si>
  <si>
    <t>NO.97986868</t>
  </si>
  <si>
    <t>2023.10.21</t>
  </si>
  <si>
    <t>NO.63080336</t>
  </si>
  <si>
    <t>2023.11.7</t>
  </si>
  <si>
    <t>NO.66653631</t>
  </si>
  <si>
    <t>2023.11.2</t>
  </si>
  <si>
    <t>NO.63147010</t>
  </si>
  <si>
    <t>2023.12.4</t>
  </si>
  <si>
    <t>NO.67062530</t>
  </si>
  <si>
    <t>付2023年12月及24年1月通信费</t>
  </si>
  <si>
    <t>NO.63167036</t>
  </si>
  <si>
    <t>2024.1.3</t>
  </si>
  <si>
    <t>NO.45905359</t>
  </si>
  <si>
    <t>2024.2.3</t>
  </si>
  <si>
    <t>NO.66666131</t>
  </si>
  <si>
    <t>购入打印机鼓</t>
  </si>
  <si>
    <t>鼓</t>
  </si>
  <si>
    <t>温州市鹿城区大南禾信电脑店</t>
  </si>
  <si>
    <t>NO.24332000000005552957</t>
  </si>
  <si>
    <t>2024.1.7</t>
  </si>
  <si>
    <t>收回23年4-11月多支电信费</t>
  </si>
  <si>
    <t>郑祥明</t>
  </si>
  <si>
    <t>NO.1610031</t>
  </si>
  <si>
    <t>2024.1.31</t>
  </si>
  <si>
    <t>NO.47354694</t>
  </si>
  <si>
    <t>收回邵兴掌418室电费</t>
  </si>
  <si>
    <t>NO.1610032</t>
  </si>
  <si>
    <t>2024.3.4</t>
  </si>
  <si>
    <t>NO.45774794</t>
  </si>
  <si>
    <t>2024.3.3</t>
  </si>
  <si>
    <t>NO.47846452</t>
  </si>
  <si>
    <t>NO.45855679</t>
  </si>
  <si>
    <t>2024.4.7</t>
  </si>
  <si>
    <t>NO.47865545</t>
  </si>
  <si>
    <t>付快递费</t>
  </si>
  <si>
    <t>顺丰速运</t>
  </si>
  <si>
    <t>2024.4.10</t>
  </si>
  <si>
    <t>NO.45942029</t>
  </si>
  <si>
    <t>2024.5.6</t>
  </si>
  <si>
    <t>NO.24337000000049521789</t>
  </si>
  <si>
    <t>电脑修理及配件</t>
  </si>
  <si>
    <t>NO.24332000000133665703</t>
  </si>
  <si>
    <t>2024.5.10</t>
  </si>
  <si>
    <t>单位用水.个人申报</t>
  </si>
  <si>
    <t>给水工程</t>
  </si>
  <si>
    <t>温州市水务集团有限公司工程建设分公司</t>
  </si>
  <si>
    <t>NO.47507065</t>
  </si>
  <si>
    <t>2024.5.14</t>
  </si>
  <si>
    <t>二次用水总表差额分摊</t>
  </si>
  <si>
    <t>瓯越明珠-陈胜忠</t>
  </si>
  <si>
    <t>NO.48006920</t>
  </si>
  <si>
    <t>2024.6.6</t>
  </si>
  <si>
    <t>NO.24337000000073816809</t>
  </si>
  <si>
    <t>2024.6.7</t>
  </si>
  <si>
    <t>付7月电信费</t>
  </si>
  <si>
    <t>NO.73990267</t>
  </si>
  <si>
    <t>2024.7.9</t>
  </si>
  <si>
    <t>NO.24337000000090019052</t>
  </si>
  <si>
    <t>2024.7.2</t>
  </si>
  <si>
    <t>NO.49149510</t>
  </si>
  <si>
    <t>2024.7.1</t>
  </si>
  <si>
    <t>NO.49149509</t>
  </si>
  <si>
    <t>付本月电信费</t>
  </si>
  <si>
    <t>NO.74036388</t>
  </si>
  <si>
    <t>2024.8.7</t>
  </si>
  <si>
    <t>付本月电费</t>
  </si>
  <si>
    <t>NO.24337000000101008620</t>
  </si>
  <si>
    <t>NO.74114762</t>
  </si>
  <si>
    <t>2024.9.3</t>
  </si>
  <si>
    <t>NO.24337000000114860377</t>
  </si>
  <si>
    <t>NO.24337000000130133858</t>
  </si>
  <si>
    <t>2024.10.10</t>
  </si>
  <si>
    <t>NO.24337000000138958407</t>
  </si>
  <si>
    <t>NO.24337000000130193103</t>
  </si>
  <si>
    <t>2024.11.11</t>
  </si>
  <si>
    <t>NO.24337000000160600076</t>
  </si>
  <si>
    <t>2024.11.5</t>
  </si>
  <si>
    <t>NO.24337000000161265480</t>
  </si>
  <si>
    <t>2024.12.5</t>
  </si>
  <si>
    <t>NO.24337000000176414385</t>
  </si>
  <si>
    <t>NO.25337000000004409809</t>
  </si>
  <si>
    <t>2025.1.7</t>
  </si>
  <si>
    <t>NO.25337000000048927134</t>
  </si>
  <si>
    <t>NO.25337000000004714793</t>
  </si>
  <si>
    <t>2025.2.10</t>
  </si>
  <si>
    <t>NO.25337000000089736076</t>
  </si>
  <si>
    <t>2025.2.28</t>
  </si>
  <si>
    <t>NO.25337000000095774925</t>
  </si>
  <si>
    <t>2025.3.10</t>
  </si>
  <si>
    <t>NO.25337000000108072846</t>
  </si>
  <si>
    <t>购入办公用品及快件费</t>
  </si>
  <si>
    <t>浙江温州五马1</t>
  </si>
  <si>
    <t>NO.25332000000100126202</t>
  </si>
  <si>
    <t>2025.3.13</t>
  </si>
  <si>
    <t>NO.25337000000095806946</t>
  </si>
  <si>
    <t>2025.4.3</t>
  </si>
  <si>
    <t>NO.25337000000134886322</t>
  </si>
  <si>
    <t>维修电脑</t>
  </si>
  <si>
    <t>温州市鹿城区南汇迅杰电脑服务部</t>
  </si>
  <si>
    <t>NO.0017468</t>
  </si>
  <si>
    <t>2025.4.8</t>
  </si>
  <si>
    <t>NO.25337000000142525009</t>
  </si>
  <si>
    <t>2025.5.12</t>
  </si>
  <si>
    <t>NO.25337000000200258098</t>
  </si>
  <si>
    <t>2025.5.10</t>
  </si>
  <si>
    <t>2025.5.30</t>
  </si>
  <si>
    <t>NO.25337000000246836060</t>
  </si>
  <si>
    <t>2025.6.9</t>
  </si>
  <si>
    <t>NO.25337000000262396165</t>
  </si>
  <si>
    <t>NO.25337000000246884062</t>
  </si>
  <si>
    <t>2025.7.7</t>
  </si>
  <si>
    <t>NO.25337000000322575947</t>
  </si>
  <si>
    <t>2025.7.30</t>
  </si>
  <si>
    <t>NO.25337000000334094627</t>
  </si>
  <si>
    <t>2025.8.4</t>
  </si>
  <si>
    <t>NO.25337000000364385032</t>
  </si>
  <si>
    <t>NO.25337000000369134235</t>
  </si>
  <si>
    <t>2025.9.11</t>
  </si>
  <si>
    <t>NO.25337000000420468221</t>
  </si>
  <si>
    <t>2025.9.4</t>
  </si>
  <si>
    <t>NO.25337000000457103223</t>
  </si>
  <si>
    <t>2025.10.13</t>
  </si>
  <si>
    <t>NO.25337000000481665985</t>
  </si>
  <si>
    <t>办事交通费及打扫卫生费</t>
  </si>
  <si>
    <t>2025.10.30</t>
  </si>
  <si>
    <t>四达公司温州联络处-洪贵莲</t>
  </si>
  <si>
    <t>2025.10.29</t>
  </si>
  <si>
    <t>购入茶叶</t>
  </si>
  <si>
    <t>茶叶</t>
  </si>
  <si>
    <t>温州发到家贸易有限公司</t>
  </si>
  <si>
    <t>NO.25332000000484596820</t>
  </si>
  <si>
    <t>NO.25337000000457164641</t>
  </si>
  <si>
    <t>2025.11.10</t>
  </si>
  <si>
    <t>NO.25337000000529427678</t>
  </si>
  <si>
    <t>交通费及复印费等</t>
  </si>
  <si>
    <t>2025.10.31</t>
  </si>
  <si>
    <t>邮政交寄单</t>
  </si>
  <si>
    <t>2025.11.5</t>
  </si>
  <si>
    <t>复印纸</t>
  </si>
  <si>
    <t>温州市鹿城区金源广告店</t>
  </si>
  <si>
    <t>NO.25332000000492081480</t>
  </si>
  <si>
    <t>2025.11.2</t>
  </si>
  <si>
    <t>NO.25332000000498504463</t>
  </si>
  <si>
    <t>付交运费及电脑维修费</t>
  </si>
  <si>
    <t>2025.11.28</t>
  </si>
  <si>
    <t>NO.25332000000516413802</t>
  </si>
  <si>
    <t>2025.11.4</t>
  </si>
  <si>
    <t>NO.25337000000530988606</t>
  </si>
  <si>
    <t>2025.12.11</t>
  </si>
  <si>
    <t>25337000000597536719</t>
  </si>
  <si>
    <t>2025.12.17</t>
  </si>
  <si>
    <t>彩色打印</t>
  </si>
  <si>
    <t>温州市鹿城区金金广告设计点</t>
  </si>
  <si>
    <t>NO.25332000000565041118</t>
  </si>
  <si>
    <t>2025.12.8</t>
  </si>
  <si>
    <t>中国电信股份有限公司温州分公司</t>
  </si>
  <si>
    <t>NO.26337000000018512153</t>
  </si>
  <si>
    <t>2026.1.5</t>
  </si>
  <si>
    <t>NO.26337000000065086847</t>
  </si>
  <si>
    <t>购买打印机彩盒</t>
  </si>
  <si>
    <t>NO.26332000000072141481</t>
  </si>
  <si>
    <t>2026.1.4</t>
  </si>
  <si>
    <t>NO.26337000000018614271</t>
  </si>
  <si>
    <t>2026.2.3</t>
  </si>
  <si>
    <t>NO.263370000000157158630</t>
  </si>
  <si>
    <t>NO.263370000000178277580</t>
  </si>
  <si>
    <t>2026.3.5</t>
  </si>
  <si>
    <t>NO.263370000000238711146</t>
  </si>
  <si>
    <t>税务办交通运输费</t>
  </si>
  <si>
    <t>NO.13771867</t>
  </si>
  <si>
    <t>2026.3.31</t>
  </si>
  <si>
    <t>？</t>
  </si>
  <si>
    <t>2026.4.9</t>
  </si>
  <si>
    <t>NO.263370000000334237552</t>
  </si>
  <si>
    <t>NO.263370000000320823369</t>
  </si>
  <si>
    <t>2026.5.22</t>
  </si>
  <si>
    <t>NO.263370000000576480377</t>
  </si>
  <si>
    <t>2026.6.18</t>
  </si>
  <si>
    <t>NO.26337000000449707409</t>
  </si>
  <si>
    <t>购买杀虫气</t>
  </si>
  <si>
    <t>日常用品</t>
  </si>
  <si>
    <t>宜家鲜超市人民路</t>
  </si>
  <si>
    <t>购物小票</t>
  </si>
  <si>
    <t>NO.142026200273</t>
  </si>
  <si>
    <t>2026.6.20</t>
  </si>
  <si>
    <t>NO.263370000000650166721</t>
  </si>
  <si>
    <t>2026.7.21</t>
  </si>
  <si>
    <t>NO.263370000000724550562</t>
  </si>
  <si>
    <t>2026.8.7</t>
  </si>
  <si>
    <t>应缴金额</t>
  </si>
  <si>
    <t>实缴金额</t>
  </si>
  <si>
    <t>付2020年度房产税及印花税</t>
  </si>
  <si>
    <t>房产税</t>
  </si>
  <si>
    <t>国家税务总局温州市鹿城区税务局</t>
  </si>
  <si>
    <t>税收电子缴款书</t>
  </si>
  <si>
    <t>NO.333036210100014944</t>
  </si>
  <si>
    <t>2021.1.5</t>
  </si>
  <si>
    <t>印花税</t>
  </si>
  <si>
    <t>付1月房产税</t>
  </si>
  <si>
    <t>NO.333036210200347090</t>
  </si>
  <si>
    <t>2021.8.22</t>
  </si>
  <si>
    <t>付2月房产税</t>
  </si>
  <si>
    <t>NO.333036210300170678</t>
  </si>
  <si>
    <t>2021.3.12</t>
  </si>
  <si>
    <t>付2021一季度印花税及3月房产税</t>
  </si>
  <si>
    <t>NO.333036210400093022</t>
  </si>
  <si>
    <t>2021.4.9</t>
  </si>
  <si>
    <t>付2020年度土地使用税</t>
  </si>
  <si>
    <t>城镇土地使用税</t>
  </si>
  <si>
    <t>NO.333036210500282589</t>
  </si>
  <si>
    <t>付5月房产税</t>
  </si>
  <si>
    <t>NO.333036210600021391</t>
  </si>
  <si>
    <t>付6月房产说及二季度印花税</t>
  </si>
  <si>
    <t>NO.333036210700148796</t>
  </si>
  <si>
    <t>2021.7.8</t>
  </si>
  <si>
    <t>付8月房产税</t>
  </si>
  <si>
    <t>NO.333036210900037889</t>
  </si>
  <si>
    <t>付三季度印花税</t>
  </si>
  <si>
    <t>NO.333036211000014468</t>
  </si>
  <si>
    <t>2021.10.10</t>
  </si>
  <si>
    <t>付2021年12跃月房产税及印花税</t>
  </si>
  <si>
    <t>NO.333036220100068929</t>
  </si>
  <si>
    <t>2022.1.7</t>
  </si>
  <si>
    <t>付3月房产税及一季度印花税</t>
  </si>
  <si>
    <t>NO.333036220400045215</t>
  </si>
  <si>
    <t>付2021年度自用房产税及土地使用税</t>
  </si>
  <si>
    <t>NO.333036220500112567</t>
  </si>
  <si>
    <t>付4月房产税</t>
  </si>
  <si>
    <t>付二季度印花税</t>
  </si>
  <si>
    <t>NO.333036220700051510</t>
  </si>
  <si>
    <t>付7月房产税</t>
  </si>
  <si>
    <t>NO.333036220800025692</t>
  </si>
  <si>
    <t>付2022三季度印花税及9月房产税</t>
  </si>
  <si>
    <t>NO.333036221000095738</t>
  </si>
  <si>
    <t>2022.10.12</t>
  </si>
  <si>
    <t>付自用房产税、城镇土地使用税</t>
  </si>
  <si>
    <t>NO.333036230300289508</t>
  </si>
  <si>
    <t>土地使用税</t>
  </si>
  <si>
    <t>付6月房产说及印花税</t>
  </si>
  <si>
    <t>NO.333036230700030033</t>
  </si>
  <si>
    <t>2023.7.4</t>
  </si>
  <si>
    <t>付房产税</t>
  </si>
  <si>
    <t>NO.333036230800002774</t>
  </si>
  <si>
    <t>2023.8.2</t>
  </si>
  <si>
    <t>NO.333036231000057859</t>
  </si>
  <si>
    <t>2023.10.9</t>
  </si>
  <si>
    <t>NO.333036240200052973</t>
  </si>
  <si>
    <t>2024.2.5</t>
  </si>
  <si>
    <t>付2023年度自用房产税及土地使用税</t>
  </si>
  <si>
    <t>NO.333036240300017081</t>
  </si>
  <si>
    <t>付一季度印花税</t>
  </si>
  <si>
    <t>NO.333036240400202297</t>
  </si>
  <si>
    <t>付2024年度自用房产税</t>
  </si>
  <si>
    <t>NO.33303520300088592</t>
  </si>
  <si>
    <t>付2024年度土地使用税</t>
  </si>
  <si>
    <t>NO.333035250300088591</t>
  </si>
  <si>
    <t>付2025自用房产税</t>
  </si>
  <si>
    <t>NO.333035260300009875</t>
  </si>
  <si>
    <t>付2025年度土地税</t>
  </si>
  <si>
    <t>NO.333035260300009876</t>
  </si>
  <si>
    <t>四达公司温州联络处员工2017年工资清册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</si>
  <si>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</si>
  <si>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</si>
  <si>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</si>
  <si>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</si>
  <si>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</si>
  <si>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</si>
  <si>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</si>
  <si>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</si>
  <si>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</si>
  <si>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</si>
  <si>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</si>
  <si>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</si>
  <si>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姓名</t>
  </si>
  <si>
    <t>实发</t>
  </si>
  <si>
    <t>陈跃</t>
  </si>
  <si>
    <t>甘筱艳</t>
  </si>
  <si>
    <t>赵文苏</t>
  </si>
  <si>
    <t>四达公司温州联络处员工2021年工资清册</t>
  </si>
  <si>
    <t>计提</t>
  </si>
  <si>
    <t>四达公司温州联络处员工2022年工资清册</t>
  </si>
  <si>
    <t>四达公司温州联络处员工2023年工资清册</t>
  </si>
  <si>
    <t>四达公司温州联络处员工2024年工资清册</t>
  </si>
  <si>
    <t>四达公司温州联络处员工2025年工资清册</t>
  </si>
  <si>
    <r>
      <rPr>
        <sz val="14"/>
        <color theme="1"/>
        <rFont val="SimSun"/>
        <charset val="134"/>
      </rPr>
      <t>社会保险费缴费申报表</t>
    </r>
    <r>
      <rPr>
        <sz val="14"/>
        <color theme="1"/>
        <rFont val="Calibri"/>
        <charset val="134"/>
      </rPr>
      <t xml:space="preserve">                        </t>
    </r>
  </si>
  <si>
    <r>
      <rPr>
        <sz val="11"/>
        <color theme="1"/>
        <rFont val="Arial"/>
        <charset val="134"/>
      </rPr>
      <t>2020-12-01</t>
    </r>
    <r>
      <rPr>
        <sz val="11"/>
        <color theme="1"/>
        <rFont val="宋体"/>
        <charset val="134"/>
      </rPr>
      <t>至</t>
    </r>
    <r>
      <rPr>
        <sz val="11"/>
        <color theme="1"/>
        <rFont val="Arial"/>
        <charset val="134"/>
      </rPr>
      <t>2020-12-31</t>
    </r>
  </si>
  <si>
    <r>
      <rPr>
        <sz val="11"/>
        <color theme="1"/>
        <rFont val="Arial"/>
        <charset val="134"/>
      </rPr>
      <t>2021-1-01</t>
    </r>
    <r>
      <rPr>
        <sz val="11"/>
        <color theme="1"/>
        <rFont val="宋体"/>
        <charset val="134"/>
      </rPr>
      <t>至</t>
    </r>
    <r>
      <rPr>
        <sz val="11"/>
        <color theme="1"/>
        <rFont val="Arial"/>
        <charset val="134"/>
      </rPr>
      <t>2021-1-31</t>
    </r>
  </si>
  <si>
    <r>
      <rPr>
        <sz val="11"/>
        <color theme="1"/>
        <rFont val="Arial"/>
        <charset val="134"/>
      </rPr>
      <t>2021-2-01</t>
    </r>
    <r>
      <rPr>
        <sz val="11"/>
        <color theme="1"/>
        <rFont val="宋体"/>
        <charset val="134"/>
      </rPr>
      <t>至</t>
    </r>
    <r>
      <rPr>
        <sz val="11"/>
        <color theme="1"/>
        <rFont val="Arial"/>
        <charset val="134"/>
      </rPr>
      <t>2021-2-28</t>
    </r>
  </si>
  <si>
    <r>
      <rPr>
        <sz val="11"/>
        <color theme="1"/>
        <rFont val="Arial"/>
        <charset val="134"/>
      </rPr>
      <t>2021-3-01</t>
    </r>
    <r>
      <rPr>
        <sz val="11"/>
        <color theme="1"/>
        <rFont val="宋体"/>
        <charset val="134"/>
      </rPr>
      <t>至</t>
    </r>
    <r>
      <rPr>
        <sz val="11"/>
        <color theme="1"/>
        <rFont val="Arial"/>
        <charset val="134"/>
      </rPr>
      <t>2021-3-30</t>
    </r>
  </si>
  <si>
    <t>2021-4-01至2021-4-30</t>
  </si>
  <si>
    <t>2021-5-01至2021-5-31</t>
  </si>
  <si>
    <r>
      <rPr>
        <sz val="11"/>
        <color theme="1"/>
        <rFont val="Arial"/>
        <charset val="134"/>
      </rPr>
      <t>2021-6-01</t>
    </r>
    <r>
      <rPr>
        <sz val="11"/>
        <color theme="1"/>
        <rFont val="宋体"/>
        <charset val="134"/>
      </rPr>
      <t>至</t>
    </r>
    <r>
      <rPr>
        <sz val="11"/>
        <color theme="1"/>
        <rFont val="Arial"/>
        <charset val="134"/>
      </rPr>
      <t>2021-6-30</t>
    </r>
  </si>
  <si>
    <t>2021-7-01至2021-7-31</t>
  </si>
  <si>
    <t>2021-8-01至2021-8-31</t>
  </si>
  <si>
    <t>2021-9-01至2021-9-30</t>
  </si>
  <si>
    <t>2021-10-01至2021-10-31</t>
  </si>
  <si>
    <r>
      <rPr>
        <sz val="11"/>
        <color theme="1"/>
        <rFont val="Arial"/>
        <charset val="134"/>
      </rPr>
      <t>2021-11-01</t>
    </r>
    <r>
      <rPr>
        <sz val="11"/>
        <color theme="1"/>
        <rFont val="宋体"/>
        <charset val="134"/>
      </rPr>
      <t>至</t>
    </r>
    <r>
      <rPr>
        <sz val="11"/>
        <color theme="1"/>
        <rFont val="Arial"/>
        <charset val="134"/>
      </rPr>
      <t>2021-11-30</t>
    </r>
  </si>
  <si>
    <r>
      <rPr>
        <sz val="11"/>
        <color theme="1"/>
        <rFont val="Arial"/>
        <charset val="134"/>
      </rPr>
      <t>2021-12-01</t>
    </r>
    <r>
      <rPr>
        <sz val="11"/>
        <color theme="1"/>
        <rFont val="宋体"/>
        <charset val="134"/>
      </rPr>
      <t>至</t>
    </r>
    <r>
      <rPr>
        <sz val="11"/>
        <color theme="1"/>
        <rFont val="Arial"/>
        <charset val="134"/>
      </rPr>
      <t>2021-12-31</t>
    </r>
  </si>
  <si>
    <t>费种</t>
  </si>
  <si>
    <t>征收品目</t>
  </si>
  <si>
    <t>征收子目</t>
  </si>
  <si>
    <t>本期应缴费额</t>
  </si>
  <si>
    <t>企业职工基本养老保险费</t>
  </si>
  <si>
    <t>职工基本养老保险（单位缴纳）</t>
  </si>
  <si>
    <t>企业缴纳</t>
  </si>
  <si>
    <t>职工基本养老保险（个人缴纳</t>
  </si>
  <si>
    <t>企业职工缴纳</t>
  </si>
  <si>
    <t>失业保险费</t>
  </si>
  <si>
    <t>失业保险（单位缴纳）</t>
  </si>
  <si>
    <t>失业保险（个人缴纳）</t>
  </si>
  <si>
    <t>基本医疗保险费</t>
  </si>
  <si>
    <t>职工基本医疗保险（单位缴纳）</t>
  </si>
  <si>
    <r>
      <rPr>
        <sz val="12"/>
        <color theme="1"/>
        <rFont val="SimSun"/>
        <charset val="134"/>
      </rPr>
      <t>基本医疗保险费</t>
    </r>
    <r>
      <rPr>
        <sz val="12"/>
        <color theme="1"/>
        <rFont val="Calibri"/>
        <charset val="134"/>
      </rPr>
      <t>1</t>
    </r>
    <r>
      <rPr>
        <sz val="12"/>
        <color theme="1"/>
        <rFont val="宋体"/>
        <charset val="134"/>
      </rPr>
      <t>、</t>
    </r>
    <r>
      <rPr>
        <sz val="12"/>
        <color theme="1"/>
        <rFont val="Calibri"/>
        <charset val="134"/>
      </rPr>
      <t>II</t>
    </r>
  </si>
  <si>
    <t>门诊统筹企业缴纳</t>
  </si>
  <si>
    <t>职工基本医疗保险（个人缴纳）</t>
  </si>
  <si>
    <t>门诊统筹个人缴纳</t>
  </si>
  <si>
    <t>其他医疗保险</t>
  </si>
  <si>
    <t>农民工医疗保险费</t>
  </si>
  <si>
    <t>重大疾病医疗补助</t>
  </si>
  <si>
    <t>补充医疗补助保险费（大病保险）＿个人</t>
  </si>
  <si>
    <t>工伤保险费</t>
  </si>
  <si>
    <t>工伤保险</t>
  </si>
  <si>
    <t>合计</t>
  </si>
  <si>
    <t>已补缴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</si>
  <si>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</si>
  <si>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</si>
  <si>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</si>
  <si>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</si>
  <si>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</si>
  <si>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</si>
  <si>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</si>
  <si>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</si>
  <si>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</si>
  <si>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</si>
  <si>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</si>
  <si>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</si>
  <si>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</si>
  <si>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</si>
  <si>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</si>
  <si>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</si>
  <si>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</si>
  <si>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</si>
  <si>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</si>
  <si>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</si>
  <si>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</si>
  <si>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</si>
  <si>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</si>
  <si>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</si>
  <si>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</si>
  <si>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</si>
  <si>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</si>
  <si>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</si>
  <si>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</si>
  <si>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</si>
  <si>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</si>
  <si>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</si>
  <si>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</si>
  <si>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</si>
  <si>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</si>
  <si>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</si>
  <si>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</si>
  <si>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</si>
  <si>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</si>
  <si>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</si>
  <si>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</si>
  <si>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</si>
  <si>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</si>
  <si>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</si>
  <si>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</si>
  <si>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</si>
  <si>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</si>
  <si>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</si>
  <si>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</si>
  <si>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</si>
  <si>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</si>
  <si>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</si>
  <si>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</si>
  <si>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</si>
  <si>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</si>
  <si>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金额</t>
  </si>
  <si>
    <t>补缴2021.9月社保滞纳金</t>
  </si>
  <si>
    <t>滞纳金</t>
  </si>
  <si>
    <t>补缴2021.10月社保滞纳金</t>
  </si>
  <si>
    <t>补缴2021.11月社保滞纳金</t>
  </si>
  <si>
    <t>补缴2021.12月社保滞纳金</t>
  </si>
  <si>
    <t>补缴2022.1月社保滞纳金</t>
  </si>
  <si>
    <t>补缴2026-20259月工伤保险滞纳金</t>
  </si>
  <si>
    <t>2021年12月公积金</t>
  </si>
  <si>
    <t>2021年1月公积金</t>
  </si>
  <si>
    <t>2021年2月公积金</t>
  </si>
  <si>
    <t>2021年3月公积金</t>
  </si>
  <si>
    <t>2021年4月公积金</t>
  </si>
  <si>
    <t>2021年5月公积金</t>
  </si>
  <si>
    <t>2021年6月公积金</t>
  </si>
  <si>
    <t>2021年7月公积金</t>
  </si>
  <si>
    <t>2021年8月公积金</t>
  </si>
  <si>
    <t>2021年9月公积金</t>
  </si>
  <si>
    <t>2021年10月公积金</t>
  </si>
  <si>
    <t>2021年11月公积金</t>
  </si>
  <si>
    <t>2022年1月公积金</t>
  </si>
  <si>
    <t>2022年2月公积金</t>
  </si>
  <si>
    <t>2022年3月公积金</t>
  </si>
  <si>
    <t>2022年4月公积金</t>
  </si>
  <si>
    <t>2022年5月公积金</t>
  </si>
  <si>
    <t>2022年6月公积金</t>
  </si>
  <si>
    <t>2022年7月公积金</t>
  </si>
  <si>
    <t>2022年8月公积金</t>
  </si>
  <si>
    <t>2022年9月公积金</t>
  </si>
  <si>
    <t>2022年10月公积金</t>
  </si>
  <si>
    <t>2022年11月公积金</t>
  </si>
  <si>
    <t>2022年12月公积金</t>
  </si>
  <si>
    <t>单位部分</t>
  </si>
  <si>
    <t>个人部分</t>
  </si>
  <si>
    <t>姓名：</t>
  </si>
  <si>
    <t>人数：</t>
  </si>
  <si>
    <t>票据号码</t>
  </si>
  <si>
    <t>票据时间</t>
  </si>
  <si>
    <t>退还温州泽洋电力设备有限公司</t>
  </si>
  <si>
    <t>租房押金</t>
  </si>
  <si>
    <t>NO.0001634</t>
  </si>
  <si>
    <t>2022.5.22</t>
  </si>
  <si>
    <t>暂借款（郑祥明）</t>
  </si>
  <si>
    <t>暂借款</t>
  </si>
  <si>
    <t>NO.1610029</t>
  </si>
  <si>
    <t>退回温州市玥岚贸易有限公司押金</t>
  </si>
  <si>
    <t>郭凌风领</t>
  </si>
  <si>
    <t>补缴2025年1-8月工伤差额</t>
  </si>
  <si>
    <t>税收完税证明</t>
  </si>
  <si>
    <t>NO.433035251110000072</t>
  </si>
  <si>
    <t>2025.11.12</t>
  </si>
  <si>
    <t>NO.433035251110000073</t>
  </si>
  <si>
    <t>向温州瓯越明珠娱乐有限公司收取的租房押金</t>
  </si>
  <si>
    <t>NO.1610034</t>
  </si>
  <si>
    <t>2026.2.27</t>
  </si>
  <si>
    <t>向杨阿力收取的租房押金</t>
  </si>
  <si>
    <t>NO.1610035</t>
  </si>
  <si>
    <t>NO.1610036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</si>
</sst>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  <numFmt numFmtId="178" formatCode="0.0"/>
  </numFmts>
  <fonts count="31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Arial"/>
      <charset val="134"/>
    </font>
    <font>
      <sz val="14"/>
      <color theme="1"/>
      <name val="SimSun"/>
      <charset val="134"/>
    </font>
    <font>
      <sz val="12"/>
      <color theme="1"/>
      <name val="SimSun"/>
      <charset val="134"/>
    </font>
    <font>
      <sz val="12"/>
      <color theme="1"/>
      <name val="宋体"/>
      <charset val="134"/>
    </font>
    <font>
      <sz val="12"/>
      <color theme="1"/>
      <name val="Calibri"/>
      <charset val="134"/>
    </font>
    <font>
      <sz val="11"/>
      <color theme="1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3" fontId="0" fillId="0" borderId="0" xfId="0" applyNumberFormat="1" applyFont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3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3" fontId="0" fillId="0" borderId="1" xfId="0" applyNumberFormat="1" applyFont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177" fontId="4" fillId="0" borderId="0" xfId="0" applyNumberFormat="1" applyFont="1" applyFill="1" applyAlignment="1"/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177" fontId="5" fillId="0" borderId="0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3" fontId="2" fillId="0" borderId="0" xfId="0" applyNumberFormat="1" applyFont="1" applyFill="1" applyAlignment="1">
      <alignment horizontal="center" vertical="center"/>
    </xf>
    <xf numFmtId="43" fontId="1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3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4" name="文本框 3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6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4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∗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5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" name="文本框 3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4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∗</a:t>
              </a:r>
              <a:r>
                <a:rPr lang="en-US" altLang="zh-CN" sz="500">
                  <a:latin typeface="Cambria Math" panose="02040503050406030204" charset="0"/>
                </a:rPr>
                <a:t>5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5" name="文本框 4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8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6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⋆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7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5" name="文本框 4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8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⋆</a:t>
              </a:r>
              <a:r>
                <a:rPr lang="en-US" altLang="zh-CN" sz="500">
                  <a:latin typeface="Cambria Math" panose="02040503050406030204" charset="0"/>
                </a:rPr>
                <a:t>7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6" name="文本框 5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6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4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∗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5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6" name="文本框 5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4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∗</a:t>
              </a:r>
              <a:r>
                <a:rPr lang="en-US" altLang="zh-CN" sz="500">
                  <a:latin typeface="Cambria Math" panose="02040503050406030204" charset="0"/>
                </a:rPr>
                <a:t>5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7" name="文本框 6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8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6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⋆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7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7" name="文本框 6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8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⋆</a:t>
              </a:r>
              <a:r>
                <a:rPr lang="en-US" altLang="zh-CN" sz="500">
                  <a:latin typeface="Cambria Math" panose="02040503050406030204" charset="0"/>
                </a:rPr>
                <a:t>7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8" name="文本框 7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6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4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∗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5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文本框 7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4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∗</a:t>
              </a:r>
              <a:r>
                <a:rPr lang="en-US" altLang="zh-CN" sz="500">
                  <a:latin typeface="Cambria Math" panose="02040503050406030204" charset="0"/>
                </a:rPr>
                <a:t>5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9" name="文本框 8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8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6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⋆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7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文本框 8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8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⋆</a:t>
              </a:r>
              <a:r>
                <a:rPr lang="en-US" altLang="zh-CN" sz="500">
                  <a:latin typeface="Cambria Math" panose="02040503050406030204" charset="0"/>
                </a:rPr>
                <a:t>7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9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6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4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∗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5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文本框 9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4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∗</a:t>
              </a:r>
              <a:r>
                <a:rPr lang="en-US" altLang="zh-CN" sz="500">
                  <a:latin typeface="Cambria Math" panose="02040503050406030204" charset="0"/>
                </a:rPr>
                <a:t>5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11" name="文本框 10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8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6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⋆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7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1" name="文本框 10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8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⋆</a:t>
              </a:r>
              <a:r>
                <a:rPr lang="en-US" altLang="zh-CN" sz="500">
                  <a:latin typeface="Cambria Math" panose="02040503050406030204" charset="0"/>
                </a:rPr>
                <a:t>7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12" name="文本框 11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6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4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∗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5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文本框 11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4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∗</a:t>
              </a:r>
              <a:r>
                <a:rPr lang="en-US" altLang="zh-CN" sz="500">
                  <a:latin typeface="Cambria Math" panose="02040503050406030204" charset="0"/>
                </a:rPr>
                <a:t>5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13" name="文本框 12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8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6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⋆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7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3" name="文本框 12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8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⋆</a:t>
              </a:r>
              <a:r>
                <a:rPr lang="en-US" altLang="zh-CN" sz="500">
                  <a:latin typeface="Cambria Math" panose="02040503050406030204" charset="0"/>
                </a:rPr>
                <a:t>7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14" name="文本框 13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6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4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∗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5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4" name="文本框 13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4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∗</a:t>
              </a:r>
              <a:r>
                <a:rPr lang="en-US" altLang="zh-CN" sz="500">
                  <a:latin typeface="Cambria Math" panose="02040503050406030204" charset="0"/>
                </a:rPr>
                <a:t>5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14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8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6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⋆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7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5" name="文本框 14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8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⋆</a:t>
              </a:r>
              <a:r>
                <a:rPr lang="en-US" altLang="zh-CN" sz="500">
                  <a:latin typeface="Cambria Math" panose="02040503050406030204" charset="0"/>
                </a:rPr>
                <a:t>7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16" name="文本框 15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6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4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∗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5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6" name="文本框 15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4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∗</a:t>
              </a:r>
              <a:r>
                <a:rPr lang="en-US" altLang="zh-CN" sz="500">
                  <a:latin typeface="Cambria Math" panose="02040503050406030204" charset="0"/>
                </a:rPr>
                <a:t>5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304800" cy="85725"/>
    <mc:AlternateContent xmlns:mc="http://schemas.openxmlformats.org/markup-compatibility/2006">
      <mc:Choice xmlns:a14="http://schemas.microsoft.com/office/drawing/2010/main" Requires="a14">
        <xdr:sp>
          <xdr:nvSpPr>
            <xdr:cNvPr id="17" name="文本框 16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500">
                        <a:latin typeface="Cambria Math" panose="02040503050406030204" charset="0"/>
                      </a:rPr>
                      <m:t>8</m:t>
                    </m:r>
                    <m:r>
                      <a:rPr lang="en-US" altLang="zh-CN" sz="500">
                        <a:latin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/>
                        </m:ctrlPr>
                      </m:sSupPr>
                      <m:e>
                        <m:r>
                          <a:rPr lang="en-US" altLang="zh-CN" sz="500">
                            <a:latin typeface="Cambria Math" panose="02040503050406030204" charset="0"/>
                          </a:rPr>
                          <m:t>6</m:t>
                        </m:r>
                      </m:e>
                      <m:sup>
                        <m:r>
                          <a:rPr lang="en-US" altLang="zh-CN" sz="500">
                            <a:latin typeface="Cambria Math" panose="02040503050406030204" charset="0"/>
                          </a:rPr>
                          <m:t>⋆</m:t>
                        </m:r>
                      </m:sup>
                    </m:sSup>
                    <m:r>
                      <a:rPr lang="en-US" altLang="zh-CN" sz="500">
                        <a:latin typeface="Cambria Math" panose="02040503050406030204" charset="0"/>
                      </a:rPr>
                      <m:t>7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7" name="文本框 16"/>
            <xdr:cNvSpPr txBox="1"/>
          </xdr:nvSpPr>
          <xdr:spPr>
            <a:xfrm>
              <a:off x="5648325" y="5029200"/>
              <a:ext cx="304800" cy="857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500">
                  <a:latin typeface="Cambria Math" panose="02040503050406030204" charset="0"/>
                </a:rPr>
                <a:t>8</a:t>
              </a:r>
              <a:r>
                <a:rPr lang="en-US" altLang="zh-CN" sz="500">
                  <a:latin typeface="Cambria Math" panose="02040503050406030204" charset="0"/>
                </a:rPr>
                <a:t>=</a:t>
              </a:r>
              <a:r>
                <a:rPr lang="en-US" altLang="zh-CN" sz="500">
                  <a:latin typeface="Cambria Math" panose="02040503050406030204" charset="0"/>
                </a:rPr>
                <a:t>6</a:t>
              </a:r>
              <a:r>
                <a:rPr/>
                <a:t>^</a:t>
              </a:r>
              <a:r>
                <a:rPr lang="en-US" altLang="zh-CN" sz="500">
                  <a:latin typeface="Cambria Math" panose="02040503050406030204" charset="0"/>
                </a:rPr>
                <a:t>⋆</a:t>
              </a:r>
              <a:r>
                <a:rPr lang="en-US" altLang="zh-CN" sz="500">
                  <a:latin typeface="Cambria Math" panose="02040503050406030204" charset="0"/>
                </a:rPr>
                <a:t>7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15</xdr:row>
      <xdr:rowOff>0</xdr:rowOff>
    </xdr:from>
    <xdr:ext cx="127000" cy="182245"/>
    <xdr:sp>
      <xdr:nvSpPr>
        <xdr:cNvPr id="18" name="文本框 17"/>
        <xdr:cNvSpPr txBox="1"/>
      </xdr:nvSpPr>
      <xdr:spPr>
        <a:xfrm>
          <a:off x="5648325" y="5029200"/>
          <a:ext cx="127000" cy="1822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2"/>
  <sheetViews>
    <sheetView workbookViewId="0">
      <pane ySplit="2" topLeftCell="A27" activePane="bottomLeft" state="frozen"/>
      <selection/>
      <selection pane="bottomLeft" activeCell="C43" sqref="C43"/>
    </sheetView>
  </sheetViews>
  <sheetFormatPr defaultColWidth="9" defaultRowHeight="14.25"/>
  <cols>
    <col min="1" max="1" width="11.75" style="63" customWidth="1"/>
    <col min="2" max="2" width="8" style="47" customWidth="1"/>
    <col min="3" max="3" width="36.375" style="47" customWidth="1"/>
    <col min="4" max="4" width="13.875" style="47" customWidth="1"/>
    <col min="5" max="5" width="11.625" style="48" customWidth="1"/>
    <col min="6" max="6" width="11.75" style="48" customWidth="1"/>
    <col min="7" max="7" width="12.125" style="48" customWidth="1"/>
    <col min="8" max="8" width="27.25" style="47" customWidth="1"/>
    <col min="9" max="9" width="18.125" style="47" customWidth="1"/>
    <col min="10" max="10" width="10.875" style="47" customWidth="1"/>
    <col min="11" max="12" width="9" style="47"/>
    <col min="13" max="13" width="36.125" style="47" customWidth="1"/>
    <col min="14" max="16384" width="9" style="47"/>
  </cols>
  <sheetData>
    <row r="1" ht="27" customHeight="1"/>
    <row r="2" ht="20" customHeight="1" spans="1:13">
      <c r="A2" s="1" t="s">
        <v>0</v>
      </c>
      <c r="B2" s="2" t="s">
        <v>1</v>
      </c>
      <c r="C2" s="2" t="s">
        <v>2</v>
      </c>
      <c r="D2" s="2" t="s">
        <v>3</v>
      </c>
      <c r="E2" s="54" t="s">
        <v>4</v>
      </c>
      <c r="F2" s="54" t="s">
        <v>5</v>
      </c>
      <c r="G2" s="54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ht="20" customHeight="1" spans="1:13">
      <c r="A3" s="3">
        <v>44227</v>
      </c>
      <c r="B3" s="4">
        <v>1</v>
      </c>
      <c r="C3" s="64" t="s">
        <v>13</v>
      </c>
      <c r="D3" s="4" t="s">
        <v>14</v>
      </c>
      <c r="E3" s="5">
        <v>4285.71</v>
      </c>
      <c r="F3" s="5">
        <v>214.29</v>
      </c>
      <c r="G3" s="5">
        <f t="shared" ref="G3:G28" si="0">E3+F3</f>
        <v>4500</v>
      </c>
      <c r="H3" s="4" t="s">
        <v>15</v>
      </c>
      <c r="I3" s="4" t="s">
        <v>16</v>
      </c>
      <c r="J3" s="4" t="s">
        <v>17</v>
      </c>
      <c r="K3" s="4">
        <v>417</v>
      </c>
      <c r="L3" s="4" t="s">
        <v>18</v>
      </c>
      <c r="M3" s="4" t="s">
        <v>19</v>
      </c>
    </row>
    <row r="4" ht="20" customHeight="1" spans="1:13">
      <c r="A4" s="3">
        <v>44255</v>
      </c>
      <c r="B4" s="4">
        <v>1</v>
      </c>
      <c r="C4" s="4" t="s">
        <v>20</v>
      </c>
      <c r="D4" s="4" t="s">
        <v>14</v>
      </c>
      <c r="E4" s="5">
        <v>6857.14</v>
      </c>
      <c r="F4" s="5">
        <v>342.86</v>
      </c>
      <c r="G4" s="5">
        <f t="shared" si="0"/>
        <v>7200</v>
      </c>
      <c r="H4" s="4" t="s">
        <v>15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</row>
    <row r="5" ht="20" customHeight="1" spans="1:13">
      <c r="A5" s="3">
        <v>44286</v>
      </c>
      <c r="B5" s="4">
        <v>1</v>
      </c>
      <c r="C5" s="4" t="s">
        <v>26</v>
      </c>
      <c r="D5" s="4" t="s">
        <v>14</v>
      </c>
      <c r="E5" s="5">
        <v>5714.29</v>
      </c>
      <c r="F5" s="5">
        <v>285.71</v>
      </c>
      <c r="G5" s="5">
        <f t="shared" si="0"/>
        <v>6000</v>
      </c>
      <c r="H5" s="4" t="s">
        <v>15</v>
      </c>
      <c r="I5" s="4" t="s">
        <v>27</v>
      </c>
      <c r="J5" s="4" t="s">
        <v>28</v>
      </c>
      <c r="K5" s="4">
        <v>418</v>
      </c>
      <c r="L5" s="4" t="s">
        <v>29</v>
      </c>
      <c r="M5" s="4" t="s">
        <v>30</v>
      </c>
    </row>
    <row r="6" ht="20" customHeight="1" spans="1:13">
      <c r="A6" s="3">
        <v>44286</v>
      </c>
      <c r="B6" s="4">
        <v>2</v>
      </c>
      <c r="C6" s="4" t="s">
        <v>31</v>
      </c>
      <c r="D6" s="4" t="s">
        <v>14</v>
      </c>
      <c r="E6" s="5">
        <v>2857.14</v>
      </c>
      <c r="F6" s="5">
        <v>142.86</v>
      </c>
      <c r="G6" s="5">
        <f t="shared" si="0"/>
        <v>3000</v>
      </c>
      <c r="H6" s="4" t="s">
        <v>15</v>
      </c>
      <c r="I6" s="4" t="s">
        <v>32</v>
      </c>
      <c r="J6" s="4" t="s">
        <v>33</v>
      </c>
      <c r="K6" s="4">
        <v>404</v>
      </c>
      <c r="L6" s="4" t="s">
        <v>34</v>
      </c>
      <c r="M6" s="4" t="s">
        <v>35</v>
      </c>
    </row>
    <row r="7" ht="20" customHeight="1" spans="1:13">
      <c r="A7" s="3">
        <v>44347</v>
      </c>
      <c r="B7" s="4">
        <v>1</v>
      </c>
      <c r="C7" s="4" t="s">
        <v>20</v>
      </c>
      <c r="D7" s="4" t="s">
        <v>14</v>
      </c>
      <c r="E7" s="5">
        <v>6840</v>
      </c>
      <c r="F7" s="5">
        <v>360</v>
      </c>
      <c r="G7" s="5">
        <f t="shared" si="0"/>
        <v>7200</v>
      </c>
      <c r="H7" s="65" t="s">
        <v>15</v>
      </c>
      <c r="I7" s="65" t="s">
        <v>36</v>
      </c>
      <c r="J7" s="65" t="s">
        <v>37</v>
      </c>
      <c r="K7" s="4" t="s">
        <v>23</v>
      </c>
      <c r="L7" s="4" t="s">
        <v>24</v>
      </c>
      <c r="M7" s="4" t="s">
        <v>38</v>
      </c>
    </row>
    <row r="8" ht="20" customHeight="1" spans="1:13">
      <c r="A8" s="3"/>
      <c r="B8" s="4"/>
      <c r="C8" s="4"/>
      <c r="D8" s="4" t="s">
        <v>14</v>
      </c>
      <c r="E8" s="5">
        <v>3705</v>
      </c>
      <c r="F8" s="5">
        <v>195</v>
      </c>
      <c r="G8" s="5">
        <f t="shared" si="0"/>
        <v>3900</v>
      </c>
      <c r="H8" s="66"/>
      <c r="I8" s="66"/>
      <c r="J8" s="66"/>
      <c r="K8" s="4">
        <v>406</v>
      </c>
      <c r="L8" s="4" t="s">
        <v>34</v>
      </c>
      <c r="M8" s="4" t="s">
        <v>39</v>
      </c>
    </row>
    <row r="9" ht="20" customHeight="1" spans="1:13">
      <c r="A9" s="3">
        <v>44377</v>
      </c>
      <c r="B9" s="4">
        <v>1</v>
      </c>
      <c r="C9" s="4" t="s">
        <v>40</v>
      </c>
      <c r="D9" s="4" t="s">
        <v>14</v>
      </c>
      <c r="E9" s="5">
        <v>10114.29</v>
      </c>
      <c r="F9" s="5">
        <v>505.71</v>
      </c>
      <c r="G9" s="5">
        <f t="shared" si="0"/>
        <v>10620</v>
      </c>
      <c r="H9" s="4" t="s">
        <v>15</v>
      </c>
      <c r="I9" s="4" t="s">
        <v>41</v>
      </c>
      <c r="J9" s="4" t="s">
        <v>42</v>
      </c>
      <c r="K9" s="4">
        <v>409</v>
      </c>
      <c r="L9" s="4" t="s">
        <v>34</v>
      </c>
      <c r="M9" s="4" t="s">
        <v>43</v>
      </c>
    </row>
    <row r="10" ht="20" customHeight="1" spans="1:13">
      <c r="A10" s="3">
        <v>44377</v>
      </c>
      <c r="B10" s="4">
        <v>3</v>
      </c>
      <c r="C10" s="4" t="s">
        <v>44</v>
      </c>
      <c r="D10" s="4" t="s">
        <v>14</v>
      </c>
      <c r="E10" s="5">
        <v>3124.84</v>
      </c>
      <c r="F10" s="5">
        <v>157.14</v>
      </c>
      <c r="G10" s="5">
        <f t="shared" si="0"/>
        <v>3281.98</v>
      </c>
      <c r="H10" s="4" t="s">
        <v>15</v>
      </c>
      <c r="I10" s="4" t="s">
        <v>45</v>
      </c>
      <c r="J10" s="4" t="s">
        <v>46</v>
      </c>
      <c r="K10" s="4">
        <v>412</v>
      </c>
      <c r="L10" s="4" t="s">
        <v>47</v>
      </c>
      <c r="M10" s="4" t="s">
        <v>48</v>
      </c>
    </row>
    <row r="11" ht="20" customHeight="1" spans="1:13">
      <c r="A11" s="3">
        <v>44439</v>
      </c>
      <c r="B11" s="4">
        <v>2</v>
      </c>
      <c r="C11" s="4" t="s">
        <v>31</v>
      </c>
      <c r="D11" s="4" t="s">
        <v>14</v>
      </c>
      <c r="E11" s="5">
        <v>2857.14</v>
      </c>
      <c r="F11" s="5">
        <v>142.86</v>
      </c>
      <c r="G11" s="5">
        <f t="shared" si="0"/>
        <v>3000</v>
      </c>
      <c r="H11" s="4" t="s">
        <v>15</v>
      </c>
      <c r="I11" s="4" t="s">
        <v>49</v>
      </c>
      <c r="J11" s="4" t="s">
        <v>50</v>
      </c>
      <c r="K11" s="4">
        <v>404</v>
      </c>
      <c r="L11" s="4" t="s">
        <v>34</v>
      </c>
      <c r="M11" s="4" t="s">
        <v>51</v>
      </c>
    </row>
    <row r="12" ht="20" customHeight="1" spans="1:13">
      <c r="A12" s="3">
        <v>44439</v>
      </c>
      <c r="B12" s="4">
        <v>3</v>
      </c>
      <c r="C12" s="4" t="s">
        <v>26</v>
      </c>
      <c r="D12" s="4" t="s">
        <v>14</v>
      </c>
      <c r="E12" s="5">
        <v>5714.29</v>
      </c>
      <c r="F12" s="5">
        <v>285.71</v>
      </c>
      <c r="G12" s="5">
        <f t="shared" si="0"/>
        <v>6000</v>
      </c>
      <c r="H12" s="4" t="s">
        <v>15</v>
      </c>
      <c r="I12" s="4" t="s">
        <v>52</v>
      </c>
      <c r="J12" s="4" t="s">
        <v>50</v>
      </c>
      <c r="K12" s="4">
        <v>418</v>
      </c>
      <c r="L12" s="4" t="s">
        <v>29</v>
      </c>
      <c r="M12" s="4" t="s">
        <v>53</v>
      </c>
    </row>
    <row r="13" ht="20" customHeight="1" spans="1:13">
      <c r="A13" s="55">
        <v>44439</v>
      </c>
      <c r="B13" s="4">
        <v>4</v>
      </c>
      <c r="C13" s="4" t="s">
        <v>13</v>
      </c>
      <c r="D13" s="4" t="s">
        <v>14</v>
      </c>
      <c r="E13" s="5">
        <v>2142.86</v>
      </c>
      <c r="F13" s="5">
        <v>107.14</v>
      </c>
      <c r="G13" s="5">
        <f t="shared" si="0"/>
        <v>2250</v>
      </c>
      <c r="H13" s="4" t="s">
        <v>15</v>
      </c>
      <c r="I13" s="4" t="s">
        <v>54</v>
      </c>
      <c r="J13" s="4" t="s">
        <v>50</v>
      </c>
      <c r="K13" s="4">
        <v>417</v>
      </c>
      <c r="L13" s="4" t="s">
        <v>18</v>
      </c>
      <c r="M13" s="4" t="s">
        <v>55</v>
      </c>
    </row>
    <row r="14" ht="20" customHeight="1" spans="1:13">
      <c r="A14" s="55">
        <v>44439</v>
      </c>
      <c r="B14" s="4">
        <v>5</v>
      </c>
      <c r="C14" s="4" t="s">
        <v>20</v>
      </c>
      <c r="D14" s="4" t="s">
        <v>14</v>
      </c>
      <c r="E14" s="5">
        <v>6840</v>
      </c>
      <c r="F14" s="5">
        <v>360</v>
      </c>
      <c r="G14" s="5">
        <f t="shared" si="0"/>
        <v>7200</v>
      </c>
      <c r="H14" s="65" t="s">
        <v>15</v>
      </c>
      <c r="I14" s="65" t="s">
        <v>56</v>
      </c>
      <c r="J14" s="65" t="s">
        <v>50</v>
      </c>
      <c r="K14" s="4" t="s">
        <v>23</v>
      </c>
      <c r="L14" s="4" t="s">
        <v>24</v>
      </c>
      <c r="M14" s="4" t="s">
        <v>57</v>
      </c>
    </row>
    <row r="15" ht="20" customHeight="1" spans="2:13">
      <c r="B15" s="4"/>
      <c r="C15" s="4"/>
      <c r="D15" s="4" t="s">
        <v>14</v>
      </c>
      <c r="E15" s="5">
        <v>3705</v>
      </c>
      <c r="F15" s="5">
        <v>195</v>
      </c>
      <c r="G15" s="5">
        <f t="shared" si="0"/>
        <v>3900</v>
      </c>
      <c r="H15" s="66"/>
      <c r="I15" s="66"/>
      <c r="J15" s="66"/>
      <c r="K15" s="4">
        <v>406</v>
      </c>
      <c r="L15" s="4" t="s">
        <v>34</v>
      </c>
      <c r="M15" s="4" t="s">
        <v>58</v>
      </c>
    </row>
    <row r="16" ht="20" customHeight="1" spans="1:13">
      <c r="A16" s="55">
        <v>44561</v>
      </c>
      <c r="B16" s="4">
        <v>1</v>
      </c>
      <c r="C16" s="4" t="s">
        <v>40</v>
      </c>
      <c r="D16" s="4" t="s">
        <v>14</v>
      </c>
      <c r="E16" s="5">
        <v>10114.12</v>
      </c>
      <c r="F16" s="5">
        <v>505.71</v>
      </c>
      <c r="G16" s="5">
        <f t="shared" si="0"/>
        <v>10619.83</v>
      </c>
      <c r="H16" s="4" t="s">
        <v>15</v>
      </c>
      <c r="I16" s="4" t="s">
        <v>59</v>
      </c>
      <c r="J16" s="4" t="s">
        <v>60</v>
      </c>
      <c r="K16" s="4">
        <v>409</v>
      </c>
      <c r="L16" s="4" t="s">
        <v>34</v>
      </c>
      <c r="M16" s="4" t="s">
        <v>61</v>
      </c>
    </row>
    <row r="17" ht="20" customHeight="1" spans="1:13">
      <c r="A17" s="55">
        <v>44561</v>
      </c>
      <c r="B17" s="4">
        <v>2</v>
      </c>
      <c r="C17" s="4" t="s">
        <v>20</v>
      </c>
      <c r="D17" s="4" t="s">
        <v>14</v>
      </c>
      <c r="E17" s="5">
        <v>3142.86</v>
      </c>
      <c r="F17" s="5">
        <v>157.14</v>
      </c>
      <c r="G17" s="5">
        <f t="shared" si="0"/>
        <v>3300</v>
      </c>
      <c r="H17" s="4" t="s">
        <v>15</v>
      </c>
      <c r="I17" s="4" t="s">
        <v>62</v>
      </c>
      <c r="J17" s="4" t="s">
        <v>60</v>
      </c>
      <c r="K17" s="4">
        <v>412</v>
      </c>
      <c r="L17" s="4" t="s">
        <v>47</v>
      </c>
      <c r="M17" s="4" t="s">
        <v>63</v>
      </c>
    </row>
    <row r="18" ht="20" customHeight="1" spans="1:13">
      <c r="A18" s="3">
        <v>44651</v>
      </c>
      <c r="B18" s="4">
        <v>1</v>
      </c>
      <c r="C18" s="4" t="s">
        <v>64</v>
      </c>
      <c r="D18" s="4" t="s">
        <v>14</v>
      </c>
      <c r="E18" s="5">
        <v>5714.29</v>
      </c>
      <c r="F18" s="5">
        <v>285.71</v>
      </c>
      <c r="G18" s="5">
        <f t="shared" si="0"/>
        <v>6000</v>
      </c>
      <c r="H18" s="4" t="s">
        <v>15</v>
      </c>
      <c r="I18" s="4" t="s">
        <v>65</v>
      </c>
      <c r="J18" s="4" t="s">
        <v>66</v>
      </c>
      <c r="K18" s="4">
        <v>410</v>
      </c>
      <c r="L18" s="4"/>
      <c r="M18" s="4" t="s">
        <v>67</v>
      </c>
    </row>
    <row r="19" ht="20" customHeight="1" spans="1:13">
      <c r="A19" s="3">
        <v>44651</v>
      </c>
      <c r="B19" s="4">
        <v>2</v>
      </c>
      <c r="C19" s="4" t="s">
        <v>20</v>
      </c>
      <c r="D19" s="4" t="s">
        <v>14</v>
      </c>
      <c r="E19" s="5">
        <v>10142.86</v>
      </c>
      <c r="F19" s="5">
        <v>207.14</v>
      </c>
      <c r="G19" s="5">
        <f t="shared" si="0"/>
        <v>10350</v>
      </c>
      <c r="H19" s="4" t="s">
        <v>15</v>
      </c>
      <c r="I19" s="4" t="s">
        <v>68</v>
      </c>
      <c r="J19" s="4" t="s">
        <v>66</v>
      </c>
      <c r="K19" s="4"/>
      <c r="L19" s="4"/>
      <c r="M19" s="4" t="s">
        <v>69</v>
      </c>
    </row>
    <row r="20" ht="20" customHeight="1" spans="1:13">
      <c r="A20" s="3">
        <v>44651</v>
      </c>
      <c r="B20" s="4">
        <v>3</v>
      </c>
      <c r="C20" s="4" t="s">
        <v>31</v>
      </c>
      <c r="D20" s="4" t="s">
        <v>14</v>
      </c>
      <c r="E20" s="5">
        <v>2587.14</v>
      </c>
      <c r="F20" s="5">
        <v>142.86</v>
      </c>
      <c r="G20" s="5">
        <f t="shared" si="0"/>
        <v>2730</v>
      </c>
      <c r="H20" s="4" t="s">
        <v>15</v>
      </c>
      <c r="I20" s="4" t="s">
        <v>70</v>
      </c>
      <c r="J20" s="4" t="s">
        <v>66</v>
      </c>
      <c r="K20" s="4">
        <v>404</v>
      </c>
      <c r="L20" s="4" t="s">
        <v>34</v>
      </c>
      <c r="M20" s="4" t="s">
        <v>71</v>
      </c>
    </row>
    <row r="21" ht="20" customHeight="1" spans="1:13">
      <c r="A21" s="3">
        <v>44681</v>
      </c>
      <c r="B21" s="4">
        <v>1</v>
      </c>
      <c r="C21" s="4" t="s">
        <v>26</v>
      </c>
      <c r="D21" s="4" t="s">
        <v>14</v>
      </c>
      <c r="E21" s="5">
        <v>5714.29</v>
      </c>
      <c r="F21" s="5">
        <v>285.71</v>
      </c>
      <c r="G21" s="5">
        <f t="shared" si="0"/>
        <v>6000</v>
      </c>
      <c r="H21" s="4" t="s">
        <v>15</v>
      </c>
      <c r="I21" s="4" t="s">
        <v>72</v>
      </c>
      <c r="J21" s="4" t="s">
        <v>73</v>
      </c>
      <c r="K21" s="4">
        <v>418</v>
      </c>
      <c r="L21" s="4" t="s">
        <v>29</v>
      </c>
      <c r="M21" s="4" t="s">
        <v>74</v>
      </c>
    </row>
    <row r="22" ht="20" customHeight="1" spans="1:13">
      <c r="A22" s="3">
        <v>44773</v>
      </c>
      <c r="B22" s="4">
        <v>1</v>
      </c>
      <c r="C22" s="4" t="s">
        <v>20</v>
      </c>
      <c r="D22" s="4" t="s">
        <v>14</v>
      </c>
      <c r="E22" s="5">
        <v>10142.86</v>
      </c>
      <c r="F22" s="5">
        <v>507.14</v>
      </c>
      <c r="G22" s="5">
        <f t="shared" si="0"/>
        <v>10650</v>
      </c>
      <c r="H22" s="4" t="s">
        <v>15</v>
      </c>
      <c r="I22" s="4" t="s">
        <v>75</v>
      </c>
      <c r="J22" s="4" t="s">
        <v>76</v>
      </c>
      <c r="K22" s="4"/>
      <c r="L22" s="4"/>
      <c r="M22" s="4" t="s">
        <v>77</v>
      </c>
    </row>
    <row r="23" ht="20" customHeight="1" spans="1:13">
      <c r="A23" s="3">
        <v>44834</v>
      </c>
      <c r="B23" s="4">
        <v>1</v>
      </c>
      <c r="C23" s="4" t="s">
        <v>20</v>
      </c>
      <c r="D23" s="4" t="s">
        <v>14</v>
      </c>
      <c r="E23" s="5">
        <v>10142.86</v>
      </c>
      <c r="F23" s="5">
        <v>507.14</v>
      </c>
      <c r="G23" s="5">
        <f t="shared" si="0"/>
        <v>10650</v>
      </c>
      <c r="H23" s="4" t="s">
        <v>15</v>
      </c>
      <c r="I23" s="4" t="s">
        <v>78</v>
      </c>
      <c r="J23" s="4" t="s">
        <v>79</v>
      </c>
      <c r="K23" s="4"/>
      <c r="L23" s="4"/>
      <c r="M23" s="4" t="s">
        <v>80</v>
      </c>
    </row>
    <row r="24" ht="20" customHeight="1" spans="1:13">
      <c r="A24" s="3">
        <v>45107</v>
      </c>
      <c r="B24" s="4">
        <v>1</v>
      </c>
      <c r="C24" s="4" t="s">
        <v>20</v>
      </c>
      <c r="D24" s="4" t="s">
        <v>14</v>
      </c>
      <c r="E24" s="5">
        <v>10143.86</v>
      </c>
      <c r="F24" s="5">
        <v>508.14</v>
      </c>
      <c r="G24" s="5">
        <f t="shared" ref="G24:G26" si="1">E24+F24</f>
        <v>10652</v>
      </c>
      <c r="H24" s="4" t="s">
        <v>15</v>
      </c>
      <c r="I24" s="4" t="s">
        <v>81</v>
      </c>
      <c r="J24" s="4" t="s">
        <v>82</v>
      </c>
      <c r="K24" s="4"/>
      <c r="L24" s="4"/>
      <c r="M24" s="4" t="s">
        <v>83</v>
      </c>
    </row>
    <row r="25" ht="20" customHeight="1" spans="1:13">
      <c r="A25" s="3">
        <v>45107</v>
      </c>
      <c r="B25" s="4">
        <v>2</v>
      </c>
      <c r="C25" s="4" t="s">
        <v>20</v>
      </c>
      <c r="D25" s="4" t="s">
        <v>14</v>
      </c>
      <c r="E25" s="5">
        <v>10144.86</v>
      </c>
      <c r="F25" s="5">
        <v>509.14</v>
      </c>
      <c r="G25" s="5">
        <f t="shared" si="1"/>
        <v>10654</v>
      </c>
      <c r="H25" s="4" t="s">
        <v>15</v>
      </c>
      <c r="I25" s="4" t="s">
        <v>84</v>
      </c>
      <c r="J25" s="4" t="s">
        <v>82</v>
      </c>
      <c r="K25" s="4"/>
      <c r="L25" s="4"/>
      <c r="M25" s="4" t="s">
        <v>85</v>
      </c>
    </row>
    <row r="26" ht="20" customHeight="1" spans="1:13">
      <c r="A26" s="3">
        <v>45107</v>
      </c>
      <c r="B26" s="4">
        <v>3</v>
      </c>
      <c r="C26" s="4" t="s">
        <v>20</v>
      </c>
      <c r="D26" s="4" t="s">
        <v>14</v>
      </c>
      <c r="E26" s="5">
        <v>10144.86</v>
      </c>
      <c r="F26" s="5">
        <v>509.14</v>
      </c>
      <c r="G26" s="5">
        <f t="shared" si="1"/>
        <v>10654</v>
      </c>
      <c r="H26" s="4" t="s">
        <v>15</v>
      </c>
      <c r="I26" s="4" t="s">
        <v>86</v>
      </c>
      <c r="J26" s="4" t="s">
        <v>82</v>
      </c>
      <c r="K26" s="4"/>
      <c r="L26" s="4"/>
      <c r="M26" s="4" t="s">
        <v>87</v>
      </c>
    </row>
    <row r="27" ht="20" customHeight="1" spans="1:13">
      <c r="A27" s="3">
        <v>45138</v>
      </c>
      <c r="B27" s="4">
        <v>1</v>
      </c>
      <c r="C27" s="4" t="s">
        <v>26</v>
      </c>
      <c r="D27" s="4" t="s">
        <v>14</v>
      </c>
      <c r="E27" s="5">
        <v>7714.29</v>
      </c>
      <c r="F27" s="5">
        <v>385.71</v>
      </c>
      <c r="G27" s="5">
        <f t="shared" si="0"/>
        <v>8100</v>
      </c>
      <c r="H27" s="4" t="s">
        <v>15</v>
      </c>
      <c r="I27" s="4" t="s">
        <v>88</v>
      </c>
      <c r="J27" s="4" t="s">
        <v>89</v>
      </c>
      <c r="K27" s="4">
        <v>418</v>
      </c>
      <c r="L27" s="4" t="s">
        <v>29</v>
      </c>
      <c r="M27" s="4" t="s">
        <v>90</v>
      </c>
    </row>
    <row r="28" ht="20" customHeight="1" spans="1:13">
      <c r="A28" s="3">
        <v>45138</v>
      </c>
      <c r="B28" s="4">
        <v>2</v>
      </c>
      <c r="C28" s="4" t="s">
        <v>64</v>
      </c>
      <c r="D28" s="4" t="s">
        <v>14</v>
      </c>
      <c r="E28" s="5">
        <v>5714.29</v>
      </c>
      <c r="F28" s="5">
        <v>285.71</v>
      </c>
      <c r="G28" s="5">
        <f t="shared" si="0"/>
        <v>6000</v>
      </c>
      <c r="H28" s="4" t="s">
        <v>15</v>
      </c>
      <c r="I28" s="4" t="s">
        <v>91</v>
      </c>
      <c r="J28" s="4" t="s">
        <v>89</v>
      </c>
      <c r="K28" s="4">
        <v>410</v>
      </c>
      <c r="L28" s="4"/>
      <c r="M28" s="4" t="s">
        <v>92</v>
      </c>
    </row>
    <row r="29" ht="20" customHeight="1" spans="1:13">
      <c r="A29" s="55">
        <v>45138</v>
      </c>
      <c r="B29" s="4">
        <v>3</v>
      </c>
      <c r="C29" s="4" t="s">
        <v>93</v>
      </c>
      <c r="D29" s="4" t="s">
        <v>14</v>
      </c>
      <c r="E29" s="5">
        <v>2666.67</v>
      </c>
      <c r="F29" s="5">
        <v>133.33</v>
      </c>
      <c r="G29" s="5">
        <f t="shared" ref="G29:G35" si="2">E29+F29</f>
        <v>2800</v>
      </c>
      <c r="H29" s="4" t="s">
        <v>15</v>
      </c>
      <c r="I29" s="4" t="s">
        <v>94</v>
      </c>
      <c r="J29" s="4" t="s">
        <v>89</v>
      </c>
      <c r="K29" s="4">
        <v>409</v>
      </c>
      <c r="L29" s="4" t="s">
        <v>34</v>
      </c>
      <c r="M29" s="4" t="s">
        <v>95</v>
      </c>
    </row>
    <row r="30" ht="20" customHeight="1" spans="1:13">
      <c r="A30" s="55">
        <v>45138</v>
      </c>
      <c r="B30" s="4">
        <v>4</v>
      </c>
      <c r="C30" s="4" t="s">
        <v>96</v>
      </c>
      <c r="D30" s="4" t="s">
        <v>14</v>
      </c>
      <c r="E30" s="5">
        <v>5714.29</v>
      </c>
      <c r="F30" s="5">
        <v>285.71</v>
      </c>
      <c r="G30" s="5">
        <f t="shared" si="2"/>
        <v>6000</v>
      </c>
      <c r="H30" s="4" t="s">
        <v>15</v>
      </c>
      <c r="I30" s="4" t="s">
        <v>97</v>
      </c>
      <c r="J30" s="4" t="s">
        <v>89</v>
      </c>
      <c r="K30" s="4" t="s">
        <v>98</v>
      </c>
      <c r="L30" s="4"/>
      <c r="M30" s="4" t="s">
        <v>99</v>
      </c>
    </row>
    <row r="31" ht="20" customHeight="1" spans="1:13">
      <c r="A31" s="55">
        <v>45138</v>
      </c>
      <c r="B31" s="4">
        <v>5</v>
      </c>
      <c r="C31" s="4" t="s">
        <v>20</v>
      </c>
      <c r="D31" s="4" t="s">
        <v>14</v>
      </c>
      <c r="E31" s="5">
        <v>3142.86</v>
      </c>
      <c r="F31" s="5">
        <v>157.14</v>
      </c>
      <c r="G31" s="5">
        <f t="shared" si="2"/>
        <v>3300</v>
      </c>
      <c r="H31" s="4" t="s">
        <v>15</v>
      </c>
      <c r="I31" s="4" t="s">
        <v>100</v>
      </c>
      <c r="J31" s="4" t="s">
        <v>89</v>
      </c>
      <c r="K31" s="4">
        <v>407</v>
      </c>
      <c r="L31" s="4"/>
      <c r="M31" s="4" t="s">
        <v>101</v>
      </c>
    </row>
    <row r="32" ht="20" customHeight="1" spans="1:13">
      <c r="A32" s="55">
        <v>45322</v>
      </c>
      <c r="B32" s="4">
        <v>1</v>
      </c>
      <c r="C32" s="4" t="s">
        <v>26</v>
      </c>
      <c r="D32" s="4" t="s">
        <v>14</v>
      </c>
      <c r="E32" s="5">
        <v>3142.86</v>
      </c>
      <c r="F32" s="5">
        <v>157.14</v>
      </c>
      <c r="G32" s="5">
        <f t="shared" si="2"/>
        <v>3300</v>
      </c>
      <c r="H32" s="4" t="s">
        <v>15</v>
      </c>
      <c r="I32" s="4" t="s">
        <v>102</v>
      </c>
      <c r="J32" s="4" t="s">
        <v>103</v>
      </c>
      <c r="K32" s="4">
        <v>418</v>
      </c>
      <c r="L32" s="4" t="s">
        <v>29</v>
      </c>
      <c r="M32" s="4" t="s">
        <v>104</v>
      </c>
    </row>
    <row r="33" ht="20" customHeight="1" spans="1:13">
      <c r="A33" s="55">
        <v>45322</v>
      </c>
      <c r="B33" s="4">
        <v>2</v>
      </c>
      <c r="C33" s="4" t="s">
        <v>64</v>
      </c>
      <c r="D33" s="4" t="s">
        <v>14</v>
      </c>
      <c r="E33" s="5">
        <v>5714.29</v>
      </c>
      <c r="F33" s="5">
        <v>285.71</v>
      </c>
      <c r="G33" s="5">
        <f t="shared" si="2"/>
        <v>6000</v>
      </c>
      <c r="H33" s="4" t="s">
        <v>15</v>
      </c>
      <c r="I33" s="4" t="s">
        <v>105</v>
      </c>
      <c r="J33" s="4" t="s">
        <v>103</v>
      </c>
      <c r="K33" s="4">
        <v>410</v>
      </c>
      <c r="L33" s="4"/>
      <c r="M33" s="4" t="s">
        <v>106</v>
      </c>
    </row>
    <row r="34" ht="20" customHeight="1" spans="1:13">
      <c r="A34" s="55"/>
      <c r="B34" s="4"/>
      <c r="C34" s="4"/>
      <c r="D34" s="4"/>
      <c r="E34" s="5"/>
      <c r="F34" s="5"/>
      <c r="G34" s="5">
        <f t="shared" si="2"/>
        <v>0</v>
      </c>
      <c r="H34" s="4"/>
      <c r="I34" s="4" t="s">
        <v>107</v>
      </c>
      <c r="J34" s="4"/>
      <c r="K34" s="4"/>
      <c r="L34" s="4"/>
      <c r="M34" s="4"/>
    </row>
    <row r="35" ht="20" customHeight="1" spans="1:13">
      <c r="A35" s="3"/>
      <c r="B35" s="4"/>
      <c r="C35" s="4"/>
      <c r="D35" s="4"/>
      <c r="E35" s="5"/>
      <c r="F35" s="5"/>
      <c r="G35" s="5">
        <f t="shared" si="2"/>
        <v>0</v>
      </c>
      <c r="H35" s="4"/>
      <c r="I35" s="4" t="s">
        <v>107</v>
      </c>
      <c r="J35" s="4"/>
      <c r="K35" s="4"/>
      <c r="L35" s="4"/>
      <c r="M35" s="4"/>
    </row>
    <row r="36" ht="20" customHeight="1" spans="1:13">
      <c r="A36" s="3"/>
      <c r="B36" s="4"/>
      <c r="C36" s="4"/>
      <c r="D36" s="4"/>
      <c r="E36" s="5"/>
      <c r="F36" s="5"/>
      <c r="G36" s="5">
        <f t="shared" ref="G36:G46" si="3">E36+F36</f>
        <v>0</v>
      </c>
      <c r="H36" s="4"/>
      <c r="I36" s="4" t="s">
        <v>107</v>
      </c>
      <c r="J36" s="4"/>
      <c r="K36" s="4"/>
      <c r="L36" s="4"/>
      <c r="M36" s="4"/>
    </row>
    <row r="37" ht="20" customHeight="1" spans="1:13">
      <c r="A37" s="3"/>
      <c r="B37" s="4"/>
      <c r="C37" s="4"/>
      <c r="D37" s="4"/>
      <c r="E37" s="5"/>
      <c r="F37" s="5"/>
      <c r="G37" s="5">
        <f t="shared" si="3"/>
        <v>0</v>
      </c>
      <c r="H37" s="4"/>
      <c r="I37" s="4" t="s">
        <v>107</v>
      </c>
      <c r="J37" s="4"/>
      <c r="K37" s="4"/>
      <c r="L37" s="4"/>
      <c r="M37" s="4"/>
    </row>
    <row r="38" ht="20" customHeight="1" spans="1:13">
      <c r="A38" s="3"/>
      <c r="B38" s="4"/>
      <c r="C38" s="4"/>
      <c r="D38" s="4"/>
      <c r="E38" s="5"/>
      <c r="F38" s="5"/>
      <c r="G38" s="5">
        <f t="shared" si="3"/>
        <v>0</v>
      </c>
      <c r="H38" s="4"/>
      <c r="I38" s="4" t="s">
        <v>107</v>
      </c>
      <c r="J38" s="4"/>
      <c r="K38" s="4"/>
      <c r="L38" s="4"/>
      <c r="M38" s="4"/>
    </row>
    <row r="39" ht="20" customHeight="1" spans="1:13">
      <c r="A39" s="3"/>
      <c r="B39" s="4"/>
      <c r="C39" s="4"/>
      <c r="D39" s="4"/>
      <c r="E39" s="5"/>
      <c r="F39" s="5"/>
      <c r="G39" s="5">
        <f t="shared" si="3"/>
        <v>0</v>
      </c>
      <c r="H39" s="4"/>
      <c r="I39" s="4" t="s">
        <v>107</v>
      </c>
      <c r="J39" s="4"/>
      <c r="K39" s="4"/>
      <c r="L39" s="4"/>
      <c r="M39" s="4"/>
    </row>
    <row r="40" ht="20" customHeight="1" spans="1:13">
      <c r="A40" s="3"/>
      <c r="B40" s="4"/>
      <c r="C40" s="4"/>
      <c r="D40" s="4"/>
      <c r="E40" s="5"/>
      <c r="F40" s="5"/>
      <c r="G40" s="5">
        <f t="shared" si="3"/>
        <v>0</v>
      </c>
      <c r="H40" s="4"/>
      <c r="I40" s="4" t="s">
        <v>107</v>
      </c>
      <c r="J40" s="4"/>
      <c r="K40" s="4"/>
      <c r="L40" s="4"/>
      <c r="M40" s="4"/>
    </row>
    <row r="41" ht="20" customHeight="1" spans="1:13">
      <c r="A41" s="3"/>
      <c r="B41" s="4"/>
      <c r="C41" s="4"/>
      <c r="D41" s="4"/>
      <c r="E41" s="5"/>
      <c r="F41" s="5"/>
      <c r="G41" s="5">
        <f t="shared" si="3"/>
        <v>0</v>
      </c>
      <c r="H41" s="4"/>
      <c r="I41" s="4" t="s">
        <v>107</v>
      </c>
      <c r="J41" s="4"/>
      <c r="K41" s="4"/>
      <c r="L41" s="4"/>
      <c r="M41" s="4"/>
    </row>
    <row r="42" ht="20" customHeight="1" spans="1:13">
      <c r="A42" s="3"/>
      <c r="B42" s="4"/>
      <c r="C42" s="4"/>
      <c r="D42" s="4"/>
      <c r="E42" s="5"/>
      <c r="F42" s="5"/>
      <c r="G42" s="5">
        <f t="shared" si="3"/>
        <v>0</v>
      </c>
      <c r="H42" s="4"/>
      <c r="I42" s="4" t="s">
        <v>107</v>
      </c>
      <c r="J42" s="4"/>
      <c r="K42" s="4"/>
      <c r="L42" s="4"/>
      <c r="M42" s="4"/>
    </row>
    <row r="43" ht="20" customHeight="1" spans="1:13">
      <c r="A43" s="3"/>
      <c r="B43" s="4"/>
      <c r="C43" s="4"/>
      <c r="D43" s="4"/>
      <c r="E43" s="5"/>
      <c r="F43" s="5"/>
      <c r="G43" s="5">
        <f t="shared" si="3"/>
        <v>0</v>
      </c>
      <c r="H43" s="4"/>
      <c r="I43" s="4" t="s">
        <v>107</v>
      </c>
      <c r="J43" s="4"/>
      <c r="K43" s="4"/>
      <c r="L43" s="4"/>
      <c r="M43" s="4"/>
    </row>
    <row r="44" ht="20" customHeight="1" spans="1:13">
      <c r="A44" s="3"/>
      <c r="B44" s="4"/>
      <c r="C44" s="4"/>
      <c r="D44" s="4"/>
      <c r="E44" s="5"/>
      <c r="F44" s="5"/>
      <c r="G44" s="5">
        <f t="shared" si="3"/>
        <v>0</v>
      </c>
      <c r="H44" s="4"/>
      <c r="I44" s="4" t="s">
        <v>107</v>
      </c>
      <c r="J44" s="4"/>
      <c r="K44" s="4"/>
      <c r="L44" s="4"/>
      <c r="M44" s="4"/>
    </row>
    <row r="45" ht="20" customHeight="1" spans="1:13">
      <c r="A45" s="3"/>
      <c r="B45" s="4"/>
      <c r="C45" s="4"/>
      <c r="D45" s="4"/>
      <c r="E45" s="5"/>
      <c r="F45" s="5"/>
      <c r="G45" s="5">
        <f t="shared" si="3"/>
        <v>0</v>
      </c>
      <c r="H45" s="4"/>
      <c r="I45" s="4" t="s">
        <v>107</v>
      </c>
      <c r="J45" s="4"/>
      <c r="K45" s="4"/>
      <c r="L45" s="4"/>
      <c r="M45" s="4"/>
    </row>
    <row r="46" ht="20" customHeight="1" spans="1:13">
      <c r="A46" s="3"/>
      <c r="B46" s="4"/>
      <c r="C46" s="4"/>
      <c r="D46" s="4"/>
      <c r="E46" s="5"/>
      <c r="F46" s="5"/>
      <c r="G46" s="5">
        <f t="shared" si="3"/>
        <v>0</v>
      </c>
      <c r="H46" s="4"/>
      <c r="I46" s="4"/>
      <c r="J46" s="4"/>
      <c r="K46" s="4"/>
      <c r="L46" s="4"/>
      <c r="M46" s="4"/>
    </row>
    <row r="47" ht="20" customHeight="1" spans="1:7">
      <c r="A47" s="3"/>
      <c r="B47" s="4"/>
      <c r="E47" s="5"/>
      <c r="F47" s="5"/>
      <c r="G47" s="5">
        <f t="shared" ref="G47:G72" si="4">E47+F47</f>
        <v>0</v>
      </c>
    </row>
    <row r="48" ht="20" customHeight="1" spans="1:7">
      <c r="A48" s="3"/>
      <c r="B48" s="4"/>
      <c r="E48" s="5"/>
      <c r="F48" s="5"/>
      <c r="G48" s="5">
        <f t="shared" si="4"/>
        <v>0</v>
      </c>
    </row>
    <row r="49" spans="1:7">
      <c r="A49" s="3"/>
      <c r="B49" s="4"/>
      <c r="E49" s="5"/>
      <c r="F49" s="5"/>
      <c r="G49" s="5">
        <f t="shared" si="4"/>
        <v>0</v>
      </c>
    </row>
    <row r="50" spans="1:7">
      <c r="A50" s="3"/>
      <c r="B50" s="4"/>
      <c r="E50" s="5"/>
      <c r="F50" s="5"/>
      <c r="G50" s="5">
        <f t="shared" si="4"/>
        <v>0</v>
      </c>
    </row>
    <row r="51" spans="1:7">
      <c r="A51" s="3"/>
      <c r="B51" s="4"/>
      <c r="E51" s="5"/>
      <c r="F51" s="5"/>
      <c r="G51" s="5">
        <f t="shared" si="4"/>
        <v>0</v>
      </c>
    </row>
    <row r="52" spans="1:7">
      <c r="A52" s="3"/>
      <c r="B52" s="4"/>
      <c r="E52" s="5"/>
      <c r="F52" s="5"/>
      <c r="G52" s="5">
        <f t="shared" si="4"/>
        <v>0</v>
      </c>
    </row>
    <row r="53" spans="1:7">
      <c r="A53" s="3"/>
      <c r="B53" s="4"/>
      <c r="G53" s="5">
        <f t="shared" si="4"/>
        <v>0</v>
      </c>
    </row>
    <row r="54" spans="1:7">
      <c r="A54" s="3"/>
      <c r="B54" s="4"/>
      <c r="G54" s="5">
        <f t="shared" si="4"/>
        <v>0</v>
      </c>
    </row>
    <row r="55" spans="1:7">
      <c r="A55" s="3"/>
      <c r="B55" s="4"/>
      <c r="G55" s="5">
        <f t="shared" si="4"/>
        <v>0</v>
      </c>
    </row>
    <row r="56" spans="1:7">
      <c r="A56" s="3"/>
      <c r="B56" s="4"/>
      <c r="G56" s="5">
        <f t="shared" si="4"/>
        <v>0</v>
      </c>
    </row>
    <row r="57" spans="1:7">
      <c r="A57" s="3"/>
      <c r="B57" s="4"/>
      <c r="G57" s="5">
        <f t="shared" si="4"/>
        <v>0</v>
      </c>
    </row>
    <row r="58" spans="1:7">
      <c r="A58" s="3"/>
      <c r="B58" s="4"/>
      <c r="G58" s="5">
        <f t="shared" si="4"/>
        <v>0</v>
      </c>
    </row>
    <row r="59" spans="1:7">
      <c r="A59" s="3"/>
      <c r="B59" s="4"/>
      <c r="G59" s="5">
        <f t="shared" si="4"/>
        <v>0</v>
      </c>
    </row>
    <row r="60" spans="1:7">
      <c r="A60" s="3"/>
      <c r="B60" s="4"/>
      <c r="G60" s="5">
        <f t="shared" si="4"/>
        <v>0</v>
      </c>
    </row>
    <row r="61" spans="1:7">
      <c r="A61" s="3"/>
      <c r="B61" s="4"/>
      <c r="G61" s="5">
        <f t="shared" si="4"/>
        <v>0</v>
      </c>
    </row>
    <row r="62" spans="1:7">
      <c r="A62" s="3"/>
      <c r="B62" s="4"/>
      <c r="G62" s="5">
        <f t="shared" si="4"/>
        <v>0</v>
      </c>
    </row>
    <row r="63" spans="1:7">
      <c r="A63" s="3"/>
      <c r="B63" s="4"/>
      <c r="G63" s="5">
        <f t="shared" si="4"/>
        <v>0</v>
      </c>
    </row>
    <row r="64" spans="1:7">
      <c r="A64" s="3"/>
      <c r="B64" s="4"/>
      <c r="G64" s="5">
        <f t="shared" si="4"/>
        <v>0</v>
      </c>
    </row>
    <row r="65" spans="1:7">
      <c r="A65" s="3"/>
      <c r="B65" s="4"/>
      <c r="G65" s="5">
        <f t="shared" si="4"/>
        <v>0</v>
      </c>
    </row>
    <row r="66" spans="1:7">
      <c r="A66" s="3"/>
      <c r="B66" s="4"/>
      <c r="G66" s="5">
        <f t="shared" si="4"/>
        <v>0</v>
      </c>
    </row>
    <row r="67" spans="1:7">
      <c r="A67" s="3"/>
      <c r="B67" s="4"/>
      <c r="G67" s="5">
        <f t="shared" si="4"/>
        <v>0</v>
      </c>
    </row>
    <row r="68" spans="1:7">
      <c r="A68" s="3"/>
      <c r="B68" s="4"/>
      <c r="G68" s="5">
        <f t="shared" si="4"/>
        <v>0</v>
      </c>
    </row>
    <row r="69" spans="1:7">
      <c r="A69" s="3"/>
      <c r="B69" s="4"/>
      <c r="G69" s="5">
        <f t="shared" si="4"/>
        <v>0</v>
      </c>
    </row>
    <row r="70" spans="1:7">
      <c r="A70" s="3"/>
      <c r="B70" s="4"/>
      <c r="G70" s="5">
        <f t="shared" si="4"/>
        <v>0</v>
      </c>
    </row>
    <row r="71" spans="1:7">
      <c r="A71" s="3"/>
      <c r="B71" s="4"/>
      <c r="G71" s="5">
        <f t="shared" si="4"/>
        <v>0</v>
      </c>
    </row>
    <row r="72" spans="7:7">
      <c r="G72" s="5">
        <f t="shared" si="4"/>
        <v>0</v>
      </c>
    </row>
  </sheetData>
  <mergeCells count="6">
    <mergeCell ref="H7:H8"/>
    <mergeCell ref="H14:H15"/>
    <mergeCell ref="I7:I8"/>
    <mergeCell ref="I14:I15"/>
    <mergeCell ref="J7:J8"/>
    <mergeCell ref="J14:J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3"/>
  <sheetViews>
    <sheetView zoomScale="85" zoomScaleNormal="85" workbookViewId="0">
      <pane ySplit="2" topLeftCell="A282" activePane="bottomLeft" state="frozen"/>
      <selection/>
      <selection pane="bottomLeft" activeCell="K354" sqref="K354"/>
    </sheetView>
  </sheetViews>
  <sheetFormatPr defaultColWidth="9" defaultRowHeight="14.25"/>
  <cols>
    <col min="1" max="1" width="12.75" style="51" customWidth="1"/>
    <col min="2" max="2" width="6.875" style="52" customWidth="1"/>
    <col min="3" max="3" width="26.75" style="52" customWidth="1"/>
    <col min="4" max="4" width="13.125" style="52" customWidth="1"/>
    <col min="5" max="5" width="12.375" style="53" customWidth="1"/>
    <col min="6" max="6" width="31" style="52" customWidth="1"/>
    <col min="7" max="7" width="22.625" style="52" customWidth="1"/>
    <col min="8" max="8" width="23.875" style="52" customWidth="1"/>
    <col min="9" max="9" width="12.5" style="52" customWidth="1"/>
    <col min="10" max="16384" width="9" style="52"/>
  </cols>
  <sheetData>
    <row r="1" ht="24" customHeight="1"/>
    <row r="2" ht="20" customHeight="1" spans="1:10">
      <c r="A2" s="1" t="s">
        <v>0</v>
      </c>
      <c r="B2" s="2" t="s">
        <v>1</v>
      </c>
      <c r="C2" s="2" t="s">
        <v>108</v>
      </c>
      <c r="D2" s="2" t="s">
        <v>3</v>
      </c>
      <c r="E2" s="54" t="s">
        <v>6</v>
      </c>
      <c r="F2" s="2" t="s">
        <v>2</v>
      </c>
      <c r="G2" s="2" t="s">
        <v>7</v>
      </c>
      <c r="H2" s="2" t="s">
        <v>8</v>
      </c>
      <c r="I2" s="2" t="s">
        <v>9</v>
      </c>
      <c r="J2" s="2" t="s">
        <v>12</v>
      </c>
    </row>
    <row r="3" ht="20" customHeight="1" spans="1:10">
      <c r="A3" s="55">
        <v>44227</v>
      </c>
      <c r="B3" s="56">
        <v>2</v>
      </c>
      <c r="C3" s="56" t="s">
        <v>109</v>
      </c>
      <c r="D3" s="56" t="s">
        <v>110</v>
      </c>
      <c r="E3" s="57">
        <v>129</v>
      </c>
      <c r="F3" s="56" t="s">
        <v>111</v>
      </c>
      <c r="G3" s="4" t="s">
        <v>15</v>
      </c>
      <c r="H3" s="56" t="s">
        <v>112</v>
      </c>
      <c r="I3" s="56" t="s">
        <v>113</v>
      </c>
      <c r="J3" s="56"/>
    </row>
    <row r="4" ht="20" customHeight="1" spans="1:10">
      <c r="A4" s="55">
        <v>44227</v>
      </c>
      <c r="B4" s="56">
        <v>3</v>
      </c>
      <c r="C4" s="56" t="s">
        <v>114</v>
      </c>
      <c r="D4" s="56" t="s">
        <v>115</v>
      </c>
      <c r="E4" s="57">
        <v>822.35</v>
      </c>
      <c r="F4" s="56" t="s">
        <v>116</v>
      </c>
      <c r="G4" s="4" t="s">
        <v>15</v>
      </c>
      <c r="H4" s="56" t="s">
        <v>117</v>
      </c>
      <c r="I4" s="56" t="s">
        <v>113</v>
      </c>
      <c r="J4" s="56"/>
    </row>
    <row r="5" ht="20" customHeight="1" spans="1:10">
      <c r="A5" s="55">
        <v>44227</v>
      </c>
      <c r="B5" s="56">
        <v>5</v>
      </c>
      <c r="C5" s="56" t="s">
        <v>118</v>
      </c>
      <c r="D5" s="56" t="s">
        <v>119</v>
      </c>
      <c r="E5" s="57">
        <v>105</v>
      </c>
      <c r="F5" s="56" t="s">
        <v>120</v>
      </c>
      <c r="G5" s="4" t="s">
        <v>15</v>
      </c>
      <c r="H5" s="56" t="s">
        <v>121</v>
      </c>
      <c r="I5" s="56" t="s">
        <v>122</v>
      </c>
      <c r="J5" s="56"/>
    </row>
    <row r="6" ht="20" customHeight="1" spans="1:10">
      <c r="A6" s="55">
        <v>44227</v>
      </c>
      <c r="B6" s="56">
        <v>6</v>
      </c>
      <c r="C6" s="56" t="s">
        <v>123</v>
      </c>
      <c r="D6" s="56" t="s">
        <v>124</v>
      </c>
      <c r="E6" s="57">
        <v>8</v>
      </c>
      <c r="F6" s="56" t="s">
        <v>125</v>
      </c>
      <c r="G6" s="56" t="s">
        <v>126</v>
      </c>
      <c r="H6" s="56"/>
      <c r="I6" s="56" t="s">
        <v>127</v>
      </c>
      <c r="J6" s="56"/>
    </row>
    <row r="7" ht="20" customHeight="1" spans="1:10">
      <c r="A7" s="55"/>
      <c r="B7" s="56"/>
      <c r="C7" s="56"/>
      <c r="D7" s="56" t="s">
        <v>128</v>
      </c>
      <c r="E7" s="57">
        <v>30</v>
      </c>
      <c r="F7" s="56" t="s">
        <v>129</v>
      </c>
      <c r="G7" s="56" t="s">
        <v>130</v>
      </c>
      <c r="H7" s="56" t="s">
        <v>131</v>
      </c>
      <c r="I7" s="56" t="s">
        <v>127</v>
      </c>
      <c r="J7" s="56"/>
    </row>
    <row r="8" ht="20" customHeight="1" spans="1:10">
      <c r="A8" s="55"/>
      <c r="B8" s="56"/>
      <c r="C8" s="56"/>
      <c r="D8" s="56" t="s">
        <v>132</v>
      </c>
      <c r="E8" s="57">
        <v>300</v>
      </c>
      <c r="F8" s="56" t="s">
        <v>133</v>
      </c>
      <c r="G8" s="56" t="s">
        <v>134</v>
      </c>
      <c r="H8" s="56"/>
      <c r="I8" s="56" t="s">
        <v>17</v>
      </c>
      <c r="J8" s="56"/>
    </row>
    <row r="9" ht="20" customHeight="1" spans="1:10">
      <c r="A9" s="55">
        <v>44255</v>
      </c>
      <c r="B9" s="56">
        <v>2</v>
      </c>
      <c r="C9" s="56" t="s">
        <v>135</v>
      </c>
      <c r="D9" s="56" t="s">
        <v>115</v>
      </c>
      <c r="E9" s="57">
        <v>-1500</v>
      </c>
      <c r="F9" s="56" t="s">
        <v>20</v>
      </c>
      <c r="G9" s="56" t="s">
        <v>130</v>
      </c>
      <c r="H9" s="56" t="s">
        <v>136</v>
      </c>
      <c r="I9" s="56" t="s">
        <v>22</v>
      </c>
      <c r="J9" s="56"/>
    </row>
    <row r="10" ht="20" customHeight="1" spans="1:10">
      <c r="A10" s="55"/>
      <c r="B10" s="56"/>
      <c r="C10" s="56"/>
      <c r="D10" s="56" t="s">
        <v>137</v>
      </c>
      <c r="E10" s="57">
        <v>-1800</v>
      </c>
      <c r="F10" s="56" t="s">
        <v>20</v>
      </c>
      <c r="G10" s="56" t="s">
        <v>130</v>
      </c>
      <c r="H10" s="56" t="s">
        <v>138</v>
      </c>
      <c r="I10" s="56" t="s">
        <v>22</v>
      </c>
      <c r="J10" s="56"/>
    </row>
    <row r="11" ht="20" customHeight="1" spans="1:10">
      <c r="A11" s="55">
        <v>44255</v>
      </c>
      <c r="B11" s="56">
        <v>3</v>
      </c>
      <c r="C11" s="56" t="s">
        <v>109</v>
      </c>
      <c r="D11" s="56" t="s">
        <v>110</v>
      </c>
      <c r="E11" s="57">
        <v>129</v>
      </c>
      <c r="F11" s="56" t="s">
        <v>111</v>
      </c>
      <c r="G11" s="4" t="s">
        <v>15</v>
      </c>
      <c r="H11" s="56" t="s">
        <v>139</v>
      </c>
      <c r="I11" s="56" t="s">
        <v>140</v>
      </c>
      <c r="J11" s="56"/>
    </row>
    <row r="12" ht="20" customHeight="1" spans="1:10">
      <c r="A12" s="55">
        <v>44255</v>
      </c>
      <c r="B12" s="56">
        <v>4</v>
      </c>
      <c r="C12" s="56" t="s">
        <v>114</v>
      </c>
      <c r="D12" s="56" t="s">
        <v>115</v>
      </c>
      <c r="E12" s="57">
        <v>892.09</v>
      </c>
      <c r="F12" s="56" t="s">
        <v>116</v>
      </c>
      <c r="G12" s="4" t="s">
        <v>15</v>
      </c>
      <c r="H12" s="56" t="s">
        <v>141</v>
      </c>
      <c r="I12" s="56" t="s">
        <v>140</v>
      </c>
      <c r="J12" s="56"/>
    </row>
    <row r="13" ht="20" customHeight="1" spans="1:10">
      <c r="A13" s="55">
        <v>44255</v>
      </c>
      <c r="B13" s="56">
        <v>6</v>
      </c>
      <c r="C13" s="56" t="s">
        <v>142</v>
      </c>
      <c r="D13" s="56" t="s">
        <v>143</v>
      </c>
      <c r="E13" s="57">
        <v>4</v>
      </c>
      <c r="F13" s="56" t="s">
        <v>125</v>
      </c>
      <c r="G13" s="56" t="s">
        <v>126</v>
      </c>
      <c r="H13" s="56"/>
      <c r="I13" s="56" t="s">
        <v>22</v>
      </c>
      <c r="J13" s="56"/>
    </row>
    <row r="14" ht="20" customHeight="1" spans="1:10">
      <c r="A14" s="55"/>
      <c r="B14" s="56"/>
      <c r="C14" s="56"/>
      <c r="D14" s="56" t="s">
        <v>132</v>
      </c>
      <c r="E14" s="57">
        <v>300</v>
      </c>
      <c r="F14" s="56" t="s">
        <v>133</v>
      </c>
      <c r="G14" s="56" t="s">
        <v>134</v>
      </c>
      <c r="H14" s="56"/>
      <c r="I14" s="56" t="s">
        <v>22</v>
      </c>
      <c r="J14" s="56"/>
    </row>
    <row r="15" ht="20" customHeight="1" spans="1:10">
      <c r="A15" s="55">
        <v>44286</v>
      </c>
      <c r="B15" s="56">
        <v>1</v>
      </c>
      <c r="C15" s="56" t="s">
        <v>144</v>
      </c>
      <c r="D15" s="56" t="s">
        <v>137</v>
      </c>
      <c r="E15" s="57">
        <v>-300</v>
      </c>
      <c r="F15" s="56" t="s">
        <v>26</v>
      </c>
      <c r="G15" s="56" t="s">
        <v>130</v>
      </c>
      <c r="H15" s="56" t="s">
        <v>145</v>
      </c>
      <c r="I15" s="56" t="s">
        <v>28</v>
      </c>
      <c r="J15" s="58"/>
    </row>
    <row r="16" ht="20" customHeight="1" spans="1:10">
      <c r="A16" s="55"/>
      <c r="B16" s="56"/>
      <c r="C16" s="56"/>
      <c r="D16" s="56" t="s">
        <v>115</v>
      </c>
      <c r="E16" s="57">
        <v>-700</v>
      </c>
      <c r="F16" s="56"/>
      <c r="G16" s="56"/>
      <c r="H16" s="56"/>
      <c r="I16" s="56"/>
      <c r="J16" s="59"/>
    </row>
    <row r="17" ht="20" customHeight="1" spans="1:10">
      <c r="A17" s="55">
        <v>44286</v>
      </c>
      <c r="B17" s="56">
        <v>2</v>
      </c>
      <c r="C17" s="56" t="s">
        <v>146</v>
      </c>
      <c r="D17" s="56" t="s">
        <v>115</v>
      </c>
      <c r="E17" s="57">
        <v>-113</v>
      </c>
      <c r="F17" s="56" t="s">
        <v>31</v>
      </c>
      <c r="G17" s="56" t="s">
        <v>130</v>
      </c>
      <c r="H17" s="56" t="s">
        <v>147</v>
      </c>
      <c r="I17" s="56" t="s">
        <v>33</v>
      </c>
      <c r="J17" s="56"/>
    </row>
    <row r="18" ht="20" customHeight="1" spans="1:10">
      <c r="A18" s="55">
        <v>44286</v>
      </c>
      <c r="B18" s="56">
        <v>3</v>
      </c>
      <c r="C18" s="56" t="s">
        <v>109</v>
      </c>
      <c r="D18" s="56" t="s">
        <v>110</v>
      </c>
      <c r="E18" s="57">
        <v>121</v>
      </c>
      <c r="F18" s="56" t="s">
        <v>111</v>
      </c>
      <c r="G18" s="4" t="s">
        <v>15</v>
      </c>
      <c r="H18" s="56" t="s">
        <v>148</v>
      </c>
      <c r="I18" s="56" t="s">
        <v>149</v>
      </c>
      <c r="J18" s="56"/>
    </row>
    <row r="19" ht="20" customHeight="1" spans="1:10">
      <c r="A19" s="55">
        <v>44286</v>
      </c>
      <c r="B19" s="56">
        <v>4</v>
      </c>
      <c r="C19" s="56" t="s">
        <v>114</v>
      </c>
      <c r="D19" s="56" t="s">
        <v>115</v>
      </c>
      <c r="E19" s="57">
        <v>297.36</v>
      </c>
      <c r="F19" s="56" t="s">
        <v>116</v>
      </c>
      <c r="G19" s="4" t="s">
        <v>15</v>
      </c>
      <c r="H19" s="56" t="s">
        <v>150</v>
      </c>
      <c r="I19" s="56" t="s">
        <v>149</v>
      </c>
      <c r="J19" s="56"/>
    </row>
    <row r="20" ht="20" customHeight="1" spans="1:10">
      <c r="A20" s="55">
        <v>44286</v>
      </c>
      <c r="B20" s="56">
        <v>6</v>
      </c>
      <c r="C20" s="56" t="s">
        <v>151</v>
      </c>
      <c r="D20" s="56" t="s">
        <v>124</v>
      </c>
      <c r="E20" s="57">
        <v>8</v>
      </c>
      <c r="F20" s="56" t="s">
        <v>125</v>
      </c>
      <c r="G20" s="56" t="s">
        <v>126</v>
      </c>
      <c r="H20" s="56"/>
      <c r="I20" s="56" t="s">
        <v>152</v>
      </c>
      <c r="J20" s="56"/>
    </row>
    <row r="21" ht="20" customHeight="1" spans="1:10">
      <c r="A21" s="55"/>
      <c r="B21" s="56"/>
      <c r="C21" s="56"/>
      <c r="D21" s="56" t="s">
        <v>132</v>
      </c>
      <c r="E21" s="57">
        <v>300</v>
      </c>
      <c r="F21" s="56" t="s">
        <v>133</v>
      </c>
      <c r="G21" s="56" t="s">
        <v>134</v>
      </c>
      <c r="H21" s="56"/>
      <c r="I21" s="56" t="s">
        <v>153</v>
      </c>
      <c r="J21" s="56"/>
    </row>
    <row r="22" ht="20" customHeight="1" spans="1:10">
      <c r="A22" s="55">
        <v>44316</v>
      </c>
      <c r="B22" s="56">
        <v>1</v>
      </c>
      <c r="C22" s="56" t="s">
        <v>109</v>
      </c>
      <c r="D22" s="56" t="s">
        <v>110</v>
      </c>
      <c r="E22" s="57">
        <v>121</v>
      </c>
      <c r="F22" s="56" t="s">
        <v>111</v>
      </c>
      <c r="G22" s="4" t="s">
        <v>15</v>
      </c>
      <c r="H22" s="56" t="s">
        <v>154</v>
      </c>
      <c r="I22" s="56" t="s">
        <v>155</v>
      </c>
      <c r="J22" s="56"/>
    </row>
    <row r="23" ht="20" customHeight="1" spans="1:10">
      <c r="A23" s="55">
        <v>44316</v>
      </c>
      <c r="B23" s="56">
        <v>2</v>
      </c>
      <c r="C23" s="56" t="s">
        <v>114</v>
      </c>
      <c r="D23" s="56" t="s">
        <v>115</v>
      </c>
      <c r="E23" s="57">
        <v>266.72</v>
      </c>
      <c r="F23" s="56" t="s">
        <v>116</v>
      </c>
      <c r="G23" s="4" t="s">
        <v>15</v>
      </c>
      <c r="H23" s="56" t="s">
        <v>156</v>
      </c>
      <c r="I23" s="56" t="s">
        <v>155</v>
      </c>
      <c r="J23" s="56"/>
    </row>
    <row r="24" ht="20" customHeight="1" spans="1:10">
      <c r="A24" s="55">
        <v>44316</v>
      </c>
      <c r="B24" s="56">
        <v>4</v>
      </c>
      <c r="C24" s="56" t="s">
        <v>157</v>
      </c>
      <c r="D24" s="56" t="s">
        <v>158</v>
      </c>
      <c r="E24" s="57">
        <v>76.8</v>
      </c>
      <c r="F24" s="56" t="s">
        <v>159</v>
      </c>
      <c r="G24" s="4" t="s">
        <v>15</v>
      </c>
      <c r="H24" s="56" t="s">
        <v>160</v>
      </c>
      <c r="I24" s="56" t="s">
        <v>161</v>
      </c>
      <c r="J24" s="56"/>
    </row>
    <row r="25" ht="20" customHeight="1" spans="1:10">
      <c r="A25" s="55"/>
      <c r="B25" s="56"/>
      <c r="C25" s="56"/>
      <c r="D25" s="56" t="s">
        <v>124</v>
      </c>
      <c r="E25" s="57">
        <v>14</v>
      </c>
      <c r="F25" s="56" t="s">
        <v>125</v>
      </c>
      <c r="G25" s="56" t="s">
        <v>126</v>
      </c>
      <c r="H25" s="56"/>
      <c r="I25" s="56" t="s">
        <v>162</v>
      </c>
      <c r="J25" s="56"/>
    </row>
    <row r="26" ht="20" customHeight="1" spans="1:10">
      <c r="A26" s="55"/>
      <c r="B26" s="56"/>
      <c r="C26" s="56"/>
      <c r="D26" s="56" t="s">
        <v>163</v>
      </c>
      <c r="E26" s="57">
        <v>300</v>
      </c>
      <c r="F26" s="56" t="s">
        <v>133</v>
      </c>
      <c r="G26" s="56" t="s">
        <v>134</v>
      </c>
      <c r="H26" s="56"/>
      <c r="I26" s="56" t="s">
        <v>164</v>
      </c>
      <c r="J26" s="56"/>
    </row>
    <row r="27" ht="20" customHeight="1" spans="1:10">
      <c r="A27" s="55">
        <v>44347</v>
      </c>
      <c r="B27" s="56">
        <v>2</v>
      </c>
      <c r="C27" s="56" t="s">
        <v>165</v>
      </c>
      <c r="D27" s="56" t="s">
        <v>137</v>
      </c>
      <c r="E27" s="57">
        <v>-1500</v>
      </c>
      <c r="F27" s="56" t="s">
        <v>20</v>
      </c>
      <c r="G27" s="56" t="s">
        <v>130</v>
      </c>
      <c r="H27" s="56" t="s">
        <v>166</v>
      </c>
      <c r="I27" s="56" t="s">
        <v>37</v>
      </c>
      <c r="J27" s="56"/>
    </row>
    <row r="28" ht="20" customHeight="1" spans="1:10">
      <c r="A28" s="55"/>
      <c r="B28" s="56"/>
      <c r="C28" s="56"/>
      <c r="D28" s="56" t="s">
        <v>115</v>
      </c>
      <c r="E28" s="57">
        <v>-966</v>
      </c>
      <c r="F28" s="56" t="s">
        <v>20</v>
      </c>
      <c r="G28" s="56" t="s">
        <v>130</v>
      </c>
      <c r="H28" s="56" t="s">
        <v>167</v>
      </c>
      <c r="I28" s="56" t="s">
        <v>37</v>
      </c>
      <c r="J28" s="56"/>
    </row>
    <row r="29" ht="20" customHeight="1" spans="1:10">
      <c r="A29" s="55">
        <v>44347</v>
      </c>
      <c r="B29" s="56">
        <v>3</v>
      </c>
      <c r="C29" s="56" t="s">
        <v>109</v>
      </c>
      <c r="D29" s="56" t="s">
        <v>110</v>
      </c>
      <c r="E29" s="57">
        <v>121</v>
      </c>
      <c r="F29" s="56" t="s">
        <v>111</v>
      </c>
      <c r="G29" s="4" t="s">
        <v>15</v>
      </c>
      <c r="H29" s="56" t="s">
        <v>168</v>
      </c>
      <c r="I29" s="56" t="s">
        <v>169</v>
      </c>
      <c r="J29" s="56"/>
    </row>
    <row r="30" ht="20" customHeight="1" spans="1:10">
      <c r="A30" s="55">
        <v>44347</v>
      </c>
      <c r="B30" s="56">
        <v>4</v>
      </c>
      <c r="C30" s="56" t="s">
        <v>114</v>
      </c>
      <c r="D30" s="56" t="s">
        <v>115</v>
      </c>
      <c r="E30" s="57">
        <v>277.17</v>
      </c>
      <c r="F30" s="56" t="s">
        <v>116</v>
      </c>
      <c r="G30" s="4" t="s">
        <v>15</v>
      </c>
      <c r="H30" s="56" t="s">
        <v>170</v>
      </c>
      <c r="I30" s="56" t="s">
        <v>169</v>
      </c>
      <c r="J30" s="56"/>
    </row>
    <row r="31" ht="20" customHeight="1" spans="1:10">
      <c r="A31" s="55">
        <v>44347</v>
      </c>
      <c r="B31" s="56">
        <v>6</v>
      </c>
      <c r="C31" s="56" t="s">
        <v>171</v>
      </c>
      <c r="D31" s="56" t="s">
        <v>172</v>
      </c>
      <c r="E31" s="57">
        <v>3500</v>
      </c>
      <c r="F31" s="56" t="s">
        <v>173</v>
      </c>
      <c r="G31" s="4" t="s">
        <v>15</v>
      </c>
      <c r="H31" s="56" t="s">
        <v>174</v>
      </c>
      <c r="I31" s="56" t="s">
        <v>175</v>
      </c>
      <c r="J31" s="56"/>
    </row>
    <row r="32" ht="20" customHeight="1" spans="1:10">
      <c r="A32" s="55">
        <v>44347</v>
      </c>
      <c r="B32" s="56">
        <v>7</v>
      </c>
      <c r="C32" s="56" t="s">
        <v>176</v>
      </c>
      <c r="D32" s="56" t="s">
        <v>177</v>
      </c>
      <c r="E32" s="57">
        <v>70</v>
      </c>
      <c r="F32" s="56" t="s">
        <v>178</v>
      </c>
      <c r="G32" s="56" t="s">
        <v>130</v>
      </c>
      <c r="H32" s="56" t="s">
        <v>179</v>
      </c>
      <c r="I32" s="56" t="s">
        <v>180</v>
      </c>
      <c r="J32" s="56"/>
    </row>
    <row r="33" ht="20" customHeight="1" spans="1:10">
      <c r="A33" s="55"/>
      <c r="B33" s="56"/>
      <c r="C33" s="56"/>
      <c r="D33" s="56" t="s">
        <v>177</v>
      </c>
      <c r="E33" s="57">
        <v>40</v>
      </c>
      <c r="F33" s="56" t="s">
        <v>178</v>
      </c>
      <c r="G33" s="56" t="s">
        <v>130</v>
      </c>
      <c r="H33" s="56" t="s">
        <v>181</v>
      </c>
      <c r="I33" s="56" t="s">
        <v>182</v>
      </c>
      <c r="J33" s="56"/>
    </row>
    <row r="34" ht="20" customHeight="1" spans="1:10">
      <c r="A34" s="55"/>
      <c r="B34" s="56"/>
      <c r="C34" s="56"/>
      <c r="D34" s="56" t="s">
        <v>183</v>
      </c>
      <c r="E34" s="57">
        <v>6</v>
      </c>
      <c r="F34" s="56" t="s">
        <v>184</v>
      </c>
      <c r="G34" s="56" t="s">
        <v>130</v>
      </c>
      <c r="H34" s="56" t="s">
        <v>185</v>
      </c>
      <c r="I34" s="56" t="s">
        <v>186</v>
      </c>
      <c r="J34" s="56"/>
    </row>
    <row r="35" ht="20" customHeight="1" spans="1:10">
      <c r="A35" s="55"/>
      <c r="B35" s="56"/>
      <c r="C35" s="56"/>
      <c r="D35" s="56" t="s">
        <v>183</v>
      </c>
      <c r="E35" s="57">
        <v>9</v>
      </c>
      <c r="F35" s="56" t="s">
        <v>187</v>
      </c>
      <c r="G35" s="56" t="s">
        <v>130</v>
      </c>
      <c r="H35" s="56" t="s">
        <v>188</v>
      </c>
      <c r="I35" s="56" t="s">
        <v>186</v>
      </c>
      <c r="J35" s="56"/>
    </row>
    <row r="36" ht="20" customHeight="1" spans="1:10">
      <c r="A36" s="55"/>
      <c r="B36" s="56"/>
      <c r="C36" s="56"/>
      <c r="D36" s="56" t="s">
        <v>189</v>
      </c>
      <c r="E36" s="57">
        <v>50</v>
      </c>
      <c r="F36" s="56" t="s">
        <v>190</v>
      </c>
      <c r="G36" s="56" t="s">
        <v>130</v>
      </c>
      <c r="H36" s="56" t="s">
        <v>191</v>
      </c>
      <c r="I36" s="56" t="s">
        <v>180</v>
      </c>
      <c r="J36" s="56"/>
    </row>
    <row r="37" ht="20" customHeight="1" spans="1:10">
      <c r="A37" s="55"/>
      <c r="B37" s="56"/>
      <c r="C37" s="56"/>
      <c r="D37" s="56" t="s">
        <v>192</v>
      </c>
      <c r="E37" s="57">
        <v>50</v>
      </c>
      <c r="F37" s="56" t="s">
        <v>193</v>
      </c>
      <c r="G37" s="56" t="s">
        <v>134</v>
      </c>
      <c r="H37" s="56"/>
      <c r="I37" s="56" t="s">
        <v>194</v>
      </c>
      <c r="J37" s="56"/>
    </row>
    <row r="38" ht="20" customHeight="1" spans="1:10">
      <c r="A38" s="55"/>
      <c r="B38" s="56"/>
      <c r="C38" s="56"/>
      <c r="D38" s="56" t="s">
        <v>195</v>
      </c>
      <c r="E38" s="57">
        <v>80</v>
      </c>
      <c r="F38" s="56" t="s">
        <v>196</v>
      </c>
      <c r="G38" s="56" t="s">
        <v>134</v>
      </c>
      <c r="H38" s="56"/>
      <c r="I38" s="56" t="s">
        <v>197</v>
      </c>
      <c r="J38" s="56"/>
    </row>
    <row r="39" ht="20" customHeight="1" spans="1:10">
      <c r="A39" s="55"/>
      <c r="B39" s="56"/>
      <c r="C39" s="56"/>
      <c r="D39" s="56" t="s">
        <v>198</v>
      </c>
      <c r="E39" s="57">
        <v>350</v>
      </c>
      <c r="F39" s="56" t="s">
        <v>199</v>
      </c>
      <c r="G39" s="56" t="s">
        <v>134</v>
      </c>
      <c r="H39" s="56"/>
      <c r="I39" s="56" t="s">
        <v>200</v>
      </c>
      <c r="J39" s="56"/>
    </row>
    <row r="40" ht="20" customHeight="1" spans="1:10">
      <c r="A40" s="55"/>
      <c r="B40" s="56"/>
      <c r="C40" s="56"/>
      <c r="D40" s="56" t="s">
        <v>201</v>
      </c>
      <c r="E40" s="57">
        <v>4</v>
      </c>
      <c r="F40" s="56" t="s">
        <v>202</v>
      </c>
      <c r="G40" s="56" t="s">
        <v>130</v>
      </c>
      <c r="H40" s="56" t="s">
        <v>203</v>
      </c>
      <c r="I40" s="56" t="s">
        <v>204</v>
      </c>
      <c r="J40" s="56"/>
    </row>
    <row r="41" ht="20" customHeight="1" spans="1:10">
      <c r="A41" s="55"/>
      <c r="B41" s="56"/>
      <c r="C41" s="56"/>
      <c r="D41" s="56" t="s">
        <v>124</v>
      </c>
      <c r="E41" s="57">
        <v>11</v>
      </c>
      <c r="F41" s="56" t="s">
        <v>205</v>
      </c>
      <c r="G41" s="56"/>
      <c r="H41" s="56" t="s">
        <v>206</v>
      </c>
      <c r="I41" s="56" t="s">
        <v>207</v>
      </c>
      <c r="J41" s="56"/>
    </row>
    <row r="42" ht="20" customHeight="1" spans="1:10">
      <c r="A42" s="55"/>
      <c r="B42" s="56"/>
      <c r="C42" s="56"/>
      <c r="D42" s="56" t="s">
        <v>163</v>
      </c>
      <c r="E42" s="57">
        <v>300</v>
      </c>
      <c r="F42" s="56" t="s">
        <v>133</v>
      </c>
      <c r="G42" s="56" t="s">
        <v>134</v>
      </c>
      <c r="H42" s="56"/>
      <c r="I42" s="56" t="s">
        <v>208</v>
      </c>
      <c r="J42" s="56"/>
    </row>
    <row r="43" ht="20" customHeight="1" spans="1:10">
      <c r="A43" s="55">
        <v>44377</v>
      </c>
      <c r="B43" s="56">
        <v>2</v>
      </c>
      <c r="C43" s="56" t="s">
        <v>209</v>
      </c>
      <c r="D43" s="56" t="s">
        <v>115</v>
      </c>
      <c r="E43" s="57">
        <v>-217.8</v>
      </c>
      <c r="F43" s="58" t="s">
        <v>20</v>
      </c>
      <c r="G43" s="58" t="s">
        <v>130</v>
      </c>
      <c r="H43" s="58" t="s">
        <v>210</v>
      </c>
      <c r="I43" s="58" t="s">
        <v>211</v>
      </c>
      <c r="J43" s="58"/>
    </row>
    <row r="44" ht="20" customHeight="1" spans="1:10">
      <c r="A44" s="55"/>
      <c r="B44" s="56"/>
      <c r="C44" s="56" t="s">
        <v>212</v>
      </c>
      <c r="D44" s="56" t="s">
        <v>115</v>
      </c>
      <c r="E44" s="57">
        <v>-280.8</v>
      </c>
      <c r="F44" s="61"/>
      <c r="G44" s="61"/>
      <c r="H44" s="61"/>
      <c r="I44" s="61"/>
      <c r="J44" s="61"/>
    </row>
    <row r="45" ht="20" customHeight="1" spans="1:10">
      <c r="A45" s="55"/>
      <c r="B45" s="56"/>
      <c r="C45" s="56" t="s">
        <v>213</v>
      </c>
      <c r="D45" s="56" t="s">
        <v>115</v>
      </c>
      <c r="E45" s="57">
        <v>-739.4</v>
      </c>
      <c r="F45" s="59"/>
      <c r="G45" s="59"/>
      <c r="H45" s="59"/>
      <c r="I45" s="59"/>
      <c r="J45" s="59"/>
    </row>
    <row r="46" ht="20" customHeight="1" spans="1:10">
      <c r="A46" s="55">
        <v>44377</v>
      </c>
      <c r="B46" s="56">
        <v>3</v>
      </c>
      <c r="C46" s="56" t="s">
        <v>214</v>
      </c>
      <c r="D46" s="56" t="s">
        <v>137</v>
      </c>
      <c r="E46" s="57">
        <v>-450</v>
      </c>
      <c r="F46" s="58" t="s">
        <v>44</v>
      </c>
      <c r="G46" s="58" t="s">
        <v>130</v>
      </c>
      <c r="H46" s="58" t="s">
        <v>215</v>
      </c>
      <c r="I46" s="58" t="s">
        <v>46</v>
      </c>
      <c r="J46" s="58"/>
    </row>
    <row r="47" ht="20" customHeight="1" spans="1:10">
      <c r="A47" s="55"/>
      <c r="B47" s="56"/>
      <c r="C47" s="56"/>
      <c r="D47" s="56" t="s">
        <v>115</v>
      </c>
      <c r="E47" s="57">
        <v>-50</v>
      </c>
      <c r="F47" s="59"/>
      <c r="G47" s="59"/>
      <c r="H47" s="59"/>
      <c r="I47" s="59"/>
      <c r="J47" s="59"/>
    </row>
    <row r="48" ht="20" customHeight="1" spans="1:10">
      <c r="A48" s="55">
        <v>44377</v>
      </c>
      <c r="B48" s="56">
        <v>4</v>
      </c>
      <c r="C48" s="56" t="s">
        <v>216</v>
      </c>
      <c r="D48" s="56" t="s">
        <v>110</v>
      </c>
      <c r="E48" s="57">
        <v>121</v>
      </c>
      <c r="F48" s="56" t="s">
        <v>111</v>
      </c>
      <c r="G48" s="4" t="s">
        <v>15</v>
      </c>
      <c r="H48" s="56" t="s">
        <v>217</v>
      </c>
      <c r="I48" s="56" t="s">
        <v>218</v>
      </c>
      <c r="J48" s="56"/>
    </row>
    <row r="49" ht="20" customHeight="1" spans="1:10">
      <c r="A49" s="55">
        <v>44377</v>
      </c>
      <c r="B49" s="56">
        <v>5</v>
      </c>
      <c r="C49" s="56" t="s">
        <v>114</v>
      </c>
      <c r="D49" s="56" t="s">
        <v>115</v>
      </c>
      <c r="E49" s="57">
        <v>859.36</v>
      </c>
      <c r="F49" s="56" t="s">
        <v>116</v>
      </c>
      <c r="G49" s="4" t="s">
        <v>15</v>
      </c>
      <c r="H49" s="56" t="s">
        <v>219</v>
      </c>
      <c r="I49" s="56" t="s">
        <v>218</v>
      </c>
      <c r="J49" s="56"/>
    </row>
    <row r="50" ht="20" customHeight="1" spans="1:10">
      <c r="A50" s="55">
        <v>44377</v>
      </c>
      <c r="B50" s="56">
        <v>7</v>
      </c>
      <c r="C50" s="56" t="s">
        <v>220</v>
      </c>
      <c r="D50" s="56" t="s">
        <v>221</v>
      </c>
      <c r="E50" s="57">
        <v>4.6</v>
      </c>
      <c r="F50" s="56" t="s">
        <v>222</v>
      </c>
      <c r="G50" s="4" t="s">
        <v>15</v>
      </c>
      <c r="H50" s="56" t="s">
        <v>223</v>
      </c>
      <c r="I50" s="56" t="s">
        <v>224</v>
      </c>
      <c r="J50" s="56"/>
    </row>
    <row r="51" ht="20" customHeight="1" spans="1:10">
      <c r="A51" s="55">
        <v>44377</v>
      </c>
      <c r="B51" s="56">
        <v>8</v>
      </c>
      <c r="C51" s="56" t="s">
        <v>225</v>
      </c>
      <c r="D51" s="56" t="s">
        <v>226</v>
      </c>
      <c r="E51" s="57">
        <v>180</v>
      </c>
      <c r="F51" s="56" t="s">
        <v>193</v>
      </c>
      <c r="G51" s="56" t="s">
        <v>134</v>
      </c>
      <c r="H51" s="56"/>
      <c r="I51" s="56" t="s">
        <v>227</v>
      </c>
      <c r="J51" s="56"/>
    </row>
    <row r="52" ht="20" customHeight="1" spans="1:10">
      <c r="A52" s="55"/>
      <c r="B52" s="56"/>
      <c r="C52" s="56"/>
      <c r="D52" s="56" t="s">
        <v>228</v>
      </c>
      <c r="E52" s="57">
        <v>81</v>
      </c>
      <c r="F52" s="56" t="s">
        <v>229</v>
      </c>
      <c r="G52" s="56" t="s">
        <v>130</v>
      </c>
      <c r="H52" s="56" t="s">
        <v>230</v>
      </c>
      <c r="I52" s="56" t="s">
        <v>227</v>
      </c>
      <c r="J52" s="56"/>
    </row>
    <row r="53" ht="20" customHeight="1" spans="1:10">
      <c r="A53" s="55"/>
      <c r="B53" s="56"/>
      <c r="C53" s="56"/>
      <c r="D53" s="56" t="s">
        <v>231</v>
      </c>
      <c r="E53" s="57">
        <v>72</v>
      </c>
      <c r="F53" s="56" t="s">
        <v>193</v>
      </c>
      <c r="G53" s="56" t="s">
        <v>134</v>
      </c>
      <c r="H53" s="56"/>
      <c r="I53" s="56" t="s">
        <v>227</v>
      </c>
      <c r="J53" s="56"/>
    </row>
    <row r="54" ht="20" customHeight="1" spans="1:10">
      <c r="A54" s="55"/>
      <c r="B54" s="56"/>
      <c r="C54" s="56"/>
      <c r="D54" s="56" t="s">
        <v>232</v>
      </c>
      <c r="E54" s="57">
        <v>56</v>
      </c>
      <c r="F54" s="56" t="s">
        <v>233</v>
      </c>
      <c r="G54" s="56" t="s">
        <v>130</v>
      </c>
      <c r="H54" s="56" t="s">
        <v>234</v>
      </c>
      <c r="I54" s="56" t="s">
        <v>227</v>
      </c>
      <c r="J54" s="56"/>
    </row>
    <row r="55" ht="20" customHeight="1" spans="1:10">
      <c r="A55" s="55">
        <v>44377</v>
      </c>
      <c r="B55" s="56">
        <v>9</v>
      </c>
      <c r="C55" s="56" t="s">
        <v>235</v>
      </c>
      <c r="D55" s="56" t="s">
        <v>236</v>
      </c>
      <c r="E55" s="57">
        <v>200</v>
      </c>
      <c r="F55" s="56" t="s">
        <v>237</v>
      </c>
      <c r="G55" s="56" t="s">
        <v>134</v>
      </c>
      <c r="H55" s="56"/>
      <c r="I55" s="56" t="s">
        <v>238</v>
      </c>
      <c r="J55" s="56"/>
    </row>
    <row r="56" ht="20" customHeight="1" spans="1:10">
      <c r="A56" s="55">
        <v>44377</v>
      </c>
      <c r="B56" s="56">
        <v>10</v>
      </c>
      <c r="C56" s="56" t="s">
        <v>239</v>
      </c>
      <c r="D56" s="56" t="s">
        <v>240</v>
      </c>
      <c r="E56" s="57">
        <v>150</v>
      </c>
      <c r="F56" s="56" t="s">
        <v>184</v>
      </c>
      <c r="G56" s="56" t="s">
        <v>130</v>
      </c>
      <c r="H56" s="56" t="s">
        <v>241</v>
      </c>
      <c r="I56" s="56" t="s">
        <v>227</v>
      </c>
      <c r="J56" s="56"/>
    </row>
    <row r="57" ht="20" customHeight="1" spans="1:10">
      <c r="A57" s="55"/>
      <c r="B57" s="56"/>
      <c r="C57" s="56"/>
      <c r="D57" s="56" t="s">
        <v>242</v>
      </c>
      <c r="E57" s="57">
        <v>300</v>
      </c>
      <c r="F57" s="56" t="s">
        <v>184</v>
      </c>
      <c r="G57" s="56" t="s">
        <v>130</v>
      </c>
      <c r="H57" s="56" t="s">
        <v>243</v>
      </c>
      <c r="I57" s="56" t="s">
        <v>244</v>
      </c>
      <c r="J57" s="56"/>
    </row>
    <row r="58" ht="20" customHeight="1" spans="1:10">
      <c r="A58" s="55">
        <v>44377</v>
      </c>
      <c r="B58" s="56">
        <v>11</v>
      </c>
      <c r="C58" s="56" t="s">
        <v>245</v>
      </c>
      <c r="D58" s="56" t="s">
        <v>246</v>
      </c>
      <c r="E58" s="57">
        <v>30</v>
      </c>
      <c r="F58" s="56" t="s">
        <v>247</v>
      </c>
      <c r="G58" s="56" t="s">
        <v>130</v>
      </c>
      <c r="H58" s="56" t="s">
        <v>248</v>
      </c>
      <c r="I58" s="56" t="s">
        <v>211</v>
      </c>
      <c r="J58" s="56"/>
    </row>
    <row r="59" ht="20" customHeight="1" spans="1:10">
      <c r="A59" s="55"/>
      <c r="B59" s="56"/>
      <c r="C59" s="56"/>
      <c r="D59" s="56" t="s">
        <v>249</v>
      </c>
      <c r="E59" s="57">
        <v>150</v>
      </c>
      <c r="F59" s="56" t="s">
        <v>250</v>
      </c>
      <c r="G59" s="56" t="s">
        <v>134</v>
      </c>
      <c r="H59" s="56"/>
      <c r="I59" s="56" t="s">
        <v>251</v>
      </c>
      <c r="J59" s="56"/>
    </row>
    <row r="60" ht="20" customHeight="1" spans="1:10">
      <c r="A60" s="55">
        <v>44377</v>
      </c>
      <c r="B60" s="56">
        <v>12</v>
      </c>
      <c r="C60" s="56" t="s">
        <v>252</v>
      </c>
      <c r="D60" s="56" t="s">
        <v>253</v>
      </c>
      <c r="E60" s="57">
        <v>300</v>
      </c>
      <c r="F60" s="56" t="s">
        <v>193</v>
      </c>
      <c r="G60" s="56" t="s">
        <v>134</v>
      </c>
      <c r="H60" s="56"/>
      <c r="I60" s="56" t="s">
        <v>251</v>
      </c>
      <c r="J60" s="56"/>
    </row>
    <row r="61" ht="20" customHeight="1" spans="1:10">
      <c r="A61" s="55"/>
      <c r="B61" s="56"/>
      <c r="C61" s="56"/>
      <c r="D61" s="56" t="s">
        <v>254</v>
      </c>
      <c r="E61" s="57">
        <v>25</v>
      </c>
      <c r="F61" s="56" t="s">
        <v>202</v>
      </c>
      <c r="G61" s="56" t="s">
        <v>130</v>
      </c>
      <c r="H61" s="56" t="s">
        <v>255</v>
      </c>
      <c r="I61" s="56" t="s">
        <v>256</v>
      </c>
      <c r="J61" s="56"/>
    </row>
    <row r="62" ht="20" customHeight="1" spans="1:10">
      <c r="A62" s="55"/>
      <c r="B62" s="56"/>
      <c r="C62" s="56"/>
      <c r="D62" s="56" t="s">
        <v>257</v>
      </c>
      <c r="E62" s="57">
        <v>60</v>
      </c>
      <c r="F62" s="56" t="s">
        <v>202</v>
      </c>
      <c r="G62" s="56" t="s">
        <v>130</v>
      </c>
      <c r="H62" s="56" t="s">
        <v>258</v>
      </c>
      <c r="I62" s="56" t="s">
        <v>251</v>
      </c>
      <c r="J62" s="56"/>
    </row>
    <row r="63" ht="20" customHeight="1" spans="1:10">
      <c r="A63" s="55"/>
      <c r="B63" s="56"/>
      <c r="C63" s="56"/>
      <c r="D63" s="56" t="s">
        <v>259</v>
      </c>
      <c r="E63" s="57">
        <v>20</v>
      </c>
      <c r="F63" s="56" t="s">
        <v>260</v>
      </c>
      <c r="G63" s="56" t="s">
        <v>130</v>
      </c>
      <c r="H63" s="56" t="s">
        <v>261</v>
      </c>
      <c r="I63" s="56" t="s">
        <v>251</v>
      </c>
      <c r="J63" s="56"/>
    </row>
    <row r="64" ht="20" customHeight="1" spans="1:10">
      <c r="A64" s="55">
        <v>44377</v>
      </c>
      <c r="B64" s="56">
        <v>13</v>
      </c>
      <c r="C64" s="56" t="s">
        <v>262</v>
      </c>
      <c r="D64" s="56" t="s">
        <v>263</v>
      </c>
      <c r="E64" s="57">
        <v>200</v>
      </c>
      <c r="F64" s="56" t="s">
        <v>264</v>
      </c>
      <c r="G64" s="56" t="s">
        <v>130</v>
      </c>
      <c r="H64" s="56" t="s">
        <v>265</v>
      </c>
      <c r="I64" s="56" t="s">
        <v>256</v>
      </c>
      <c r="J64" s="56"/>
    </row>
    <row r="65" ht="20" customHeight="1" spans="1:10">
      <c r="A65" s="55"/>
      <c r="B65" s="56"/>
      <c r="C65" s="56"/>
      <c r="D65" s="56" t="s">
        <v>266</v>
      </c>
      <c r="E65" s="57">
        <v>30</v>
      </c>
      <c r="F65" s="56" t="s">
        <v>267</v>
      </c>
      <c r="G65" s="56" t="s">
        <v>134</v>
      </c>
      <c r="H65" s="56"/>
      <c r="I65" s="56" t="s">
        <v>256</v>
      </c>
      <c r="J65" s="56"/>
    </row>
    <row r="66" ht="20" customHeight="1" spans="1:10">
      <c r="A66" s="55"/>
      <c r="B66" s="56"/>
      <c r="C66" s="56"/>
      <c r="D66" s="56" t="s">
        <v>268</v>
      </c>
      <c r="E66" s="57">
        <v>300</v>
      </c>
      <c r="F66" s="56" t="s">
        <v>133</v>
      </c>
      <c r="G66" s="56" t="s">
        <v>134</v>
      </c>
      <c r="H66" s="56"/>
      <c r="I66" s="56" t="s">
        <v>256</v>
      </c>
      <c r="J66" s="56"/>
    </row>
    <row r="67" ht="20" customHeight="1" spans="1:10">
      <c r="A67" s="55"/>
      <c r="B67" s="56"/>
      <c r="C67" s="56"/>
      <c r="D67" s="52" t="s">
        <v>269</v>
      </c>
      <c r="E67" s="57">
        <v>23</v>
      </c>
      <c r="F67" s="56" t="s">
        <v>205</v>
      </c>
      <c r="G67" s="56"/>
      <c r="H67" s="56"/>
      <c r="I67" s="56" t="s">
        <v>270</v>
      </c>
      <c r="J67" s="56"/>
    </row>
    <row r="68" ht="20" customHeight="1" spans="1:10">
      <c r="A68" s="55"/>
      <c r="B68" s="56"/>
      <c r="C68" s="56"/>
      <c r="D68" s="56" t="s">
        <v>124</v>
      </c>
      <c r="E68" s="57">
        <v>14</v>
      </c>
      <c r="F68" s="56" t="s">
        <v>125</v>
      </c>
      <c r="G68" s="56"/>
      <c r="H68" s="56"/>
      <c r="I68" s="56" t="s">
        <v>270</v>
      </c>
      <c r="J68" s="56"/>
    </row>
    <row r="69" ht="20" customHeight="1" spans="1:10">
      <c r="A69" s="55">
        <v>44408</v>
      </c>
      <c r="B69" s="56">
        <v>1</v>
      </c>
      <c r="C69" s="56" t="s">
        <v>271</v>
      </c>
      <c r="D69" s="56" t="s">
        <v>272</v>
      </c>
      <c r="E69" s="57">
        <v>-325.8</v>
      </c>
      <c r="F69" s="58" t="s">
        <v>20</v>
      </c>
      <c r="G69" s="58" t="s">
        <v>130</v>
      </c>
      <c r="H69" s="58" t="s">
        <v>273</v>
      </c>
      <c r="I69" s="58" t="s">
        <v>274</v>
      </c>
      <c r="J69" s="58"/>
    </row>
    <row r="70" ht="20" customHeight="1" spans="1:10">
      <c r="A70" s="55"/>
      <c r="B70" s="56"/>
      <c r="C70" s="56"/>
      <c r="D70" s="56" t="s">
        <v>275</v>
      </c>
      <c r="E70" s="57">
        <v>-540.9</v>
      </c>
      <c r="F70" s="61"/>
      <c r="G70" s="61"/>
      <c r="H70" s="61"/>
      <c r="I70" s="61"/>
      <c r="J70" s="61"/>
    </row>
    <row r="71" ht="20" customHeight="1" spans="1:10">
      <c r="A71" s="55"/>
      <c r="B71" s="56"/>
      <c r="C71" s="56"/>
      <c r="D71" s="56" t="s">
        <v>276</v>
      </c>
      <c r="E71" s="57">
        <v>-834.3</v>
      </c>
      <c r="F71" s="59"/>
      <c r="G71" s="59"/>
      <c r="H71" s="59"/>
      <c r="I71" s="59"/>
      <c r="J71" s="59"/>
    </row>
    <row r="72" ht="20" customHeight="1" spans="1:10">
      <c r="A72" s="55">
        <v>44408</v>
      </c>
      <c r="B72" s="56">
        <v>2</v>
      </c>
      <c r="C72" s="56" t="s">
        <v>216</v>
      </c>
      <c r="D72" s="56" t="s">
        <v>110</v>
      </c>
      <c r="E72" s="57">
        <v>121</v>
      </c>
      <c r="F72" s="56" t="s">
        <v>111</v>
      </c>
      <c r="G72" s="4" t="s">
        <v>15</v>
      </c>
      <c r="H72" s="56" t="s">
        <v>277</v>
      </c>
      <c r="I72" s="56" t="s">
        <v>278</v>
      </c>
      <c r="J72" s="56"/>
    </row>
    <row r="73" ht="20" customHeight="1" spans="1:10">
      <c r="A73" s="55">
        <v>44408</v>
      </c>
      <c r="B73" s="56">
        <v>3</v>
      </c>
      <c r="C73" s="56" t="s">
        <v>114</v>
      </c>
      <c r="D73" s="56" t="s">
        <v>115</v>
      </c>
      <c r="E73" s="57">
        <v>1509.8</v>
      </c>
      <c r="F73" s="56" t="s">
        <v>116</v>
      </c>
      <c r="G73" s="4" t="s">
        <v>15</v>
      </c>
      <c r="H73" s="56" t="s">
        <v>279</v>
      </c>
      <c r="I73" s="56" t="s">
        <v>278</v>
      </c>
      <c r="J73" s="56"/>
    </row>
    <row r="74" ht="20" customHeight="1" spans="1:10">
      <c r="A74" s="55">
        <v>44408</v>
      </c>
      <c r="B74" s="56">
        <v>5</v>
      </c>
      <c r="C74" s="56" t="s">
        <v>280</v>
      </c>
      <c r="D74" s="56" t="s">
        <v>281</v>
      </c>
      <c r="E74" s="57">
        <v>186</v>
      </c>
      <c r="F74" s="56" t="s">
        <v>282</v>
      </c>
      <c r="G74" s="4" t="s">
        <v>15</v>
      </c>
      <c r="H74" s="56" t="s">
        <v>283</v>
      </c>
      <c r="I74" s="56" t="s">
        <v>284</v>
      </c>
      <c r="J74" s="56"/>
    </row>
    <row r="75" ht="20" customHeight="1" spans="1:10">
      <c r="A75" s="55"/>
      <c r="B75" s="56"/>
      <c r="C75" s="56"/>
      <c r="D75" s="56" t="s">
        <v>285</v>
      </c>
      <c r="E75" s="57">
        <v>291</v>
      </c>
      <c r="F75" s="56" t="s">
        <v>282</v>
      </c>
      <c r="G75" s="4" t="s">
        <v>15</v>
      </c>
      <c r="H75" s="56" t="s">
        <v>286</v>
      </c>
      <c r="I75" s="56" t="s">
        <v>287</v>
      </c>
      <c r="J75" s="56"/>
    </row>
    <row r="76" ht="20" customHeight="1" spans="1:10">
      <c r="A76" s="55">
        <v>44408</v>
      </c>
      <c r="B76" s="56">
        <v>6</v>
      </c>
      <c r="C76" s="56" t="s">
        <v>288</v>
      </c>
      <c r="D76" s="56" t="s">
        <v>289</v>
      </c>
      <c r="E76" s="57">
        <v>12</v>
      </c>
      <c r="F76" s="56" t="s">
        <v>290</v>
      </c>
      <c r="G76" s="56" t="s">
        <v>134</v>
      </c>
      <c r="H76" s="56"/>
      <c r="I76" s="56" t="s">
        <v>291</v>
      </c>
      <c r="J76" s="56"/>
    </row>
    <row r="77" ht="20" customHeight="1" spans="1:10">
      <c r="A77" s="55"/>
      <c r="B77" s="56"/>
      <c r="C77" s="56"/>
      <c r="D77" s="56" t="s">
        <v>253</v>
      </c>
      <c r="E77" s="57">
        <v>300</v>
      </c>
      <c r="F77" s="56" t="s">
        <v>292</v>
      </c>
      <c r="G77" s="56" t="s">
        <v>134</v>
      </c>
      <c r="H77" s="56"/>
      <c r="I77" s="56" t="s">
        <v>293</v>
      </c>
      <c r="J77" s="56"/>
    </row>
    <row r="78" ht="20" customHeight="1" spans="1:10">
      <c r="A78" s="55"/>
      <c r="B78" s="56"/>
      <c r="C78" s="56"/>
      <c r="D78" s="56" t="s">
        <v>294</v>
      </c>
      <c r="E78" s="57">
        <v>25</v>
      </c>
      <c r="F78" s="56" t="s">
        <v>295</v>
      </c>
      <c r="G78" s="56" t="s">
        <v>134</v>
      </c>
      <c r="H78" s="56"/>
      <c r="I78" s="56" t="s">
        <v>296</v>
      </c>
      <c r="J78" s="56"/>
    </row>
    <row r="79" ht="20" customHeight="1" spans="1:10">
      <c r="A79" s="55">
        <v>44408</v>
      </c>
      <c r="B79" s="56">
        <v>7</v>
      </c>
      <c r="C79" s="56" t="s">
        <v>297</v>
      </c>
      <c r="D79" s="56" t="s">
        <v>298</v>
      </c>
      <c r="E79" s="57">
        <v>100</v>
      </c>
      <c r="F79" s="56" t="s">
        <v>250</v>
      </c>
      <c r="G79" s="56" t="s">
        <v>134</v>
      </c>
      <c r="H79" s="56"/>
      <c r="I79" s="56" t="s">
        <v>296</v>
      </c>
      <c r="J79" s="56"/>
    </row>
    <row r="80" ht="20" customHeight="1" spans="1:10">
      <c r="A80" s="55"/>
      <c r="B80" s="56"/>
      <c r="C80" s="56"/>
      <c r="D80" s="56" t="s">
        <v>299</v>
      </c>
      <c r="E80" s="57">
        <v>200</v>
      </c>
      <c r="F80" s="56" t="s">
        <v>250</v>
      </c>
      <c r="G80" s="56" t="s">
        <v>134</v>
      </c>
      <c r="H80" s="56"/>
      <c r="I80" s="56" t="s">
        <v>278</v>
      </c>
      <c r="J80" s="56"/>
    </row>
    <row r="81" ht="20" customHeight="1" spans="1:10">
      <c r="A81" s="55">
        <v>44408</v>
      </c>
      <c r="B81" s="56">
        <v>8</v>
      </c>
      <c r="C81" s="56" t="s">
        <v>300</v>
      </c>
      <c r="D81" s="56" t="s">
        <v>132</v>
      </c>
      <c r="E81" s="57">
        <v>300</v>
      </c>
      <c r="F81" s="56" t="s">
        <v>133</v>
      </c>
      <c r="G81" s="56" t="s">
        <v>134</v>
      </c>
      <c r="H81" s="56"/>
      <c r="I81" s="56" t="s">
        <v>301</v>
      </c>
      <c r="J81" s="56"/>
    </row>
    <row r="82" ht="20" customHeight="1" spans="1:10">
      <c r="A82" s="55"/>
      <c r="B82" s="56"/>
      <c r="C82" s="56"/>
      <c r="D82" s="56" t="s">
        <v>302</v>
      </c>
      <c r="E82" s="57">
        <v>6</v>
      </c>
      <c r="F82" s="56" t="s">
        <v>184</v>
      </c>
      <c r="G82" s="56" t="s">
        <v>130</v>
      </c>
      <c r="H82" s="56" t="s">
        <v>303</v>
      </c>
      <c r="I82" s="56" t="s">
        <v>304</v>
      </c>
      <c r="J82" s="56"/>
    </row>
    <row r="83" ht="20" customHeight="1" spans="1:10">
      <c r="A83" s="55"/>
      <c r="B83" s="56"/>
      <c r="C83" s="56"/>
      <c r="D83" s="56" t="s">
        <v>240</v>
      </c>
      <c r="E83" s="57">
        <v>150</v>
      </c>
      <c r="F83" s="56" t="s">
        <v>184</v>
      </c>
      <c r="G83" s="56" t="s">
        <v>130</v>
      </c>
      <c r="H83" s="56" t="s">
        <v>305</v>
      </c>
      <c r="I83" s="56" t="s">
        <v>293</v>
      </c>
      <c r="J83" s="56"/>
    </row>
    <row r="84" ht="20" customHeight="1" spans="1:10">
      <c r="A84" s="55">
        <v>44408</v>
      </c>
      <c r="B84" s="56">
        <v>9</v>
      </c>
      <c r="C84" s="56" t="s">
        <v>306</v>
      </c>
      <c r="D84" s="56" t="s">
        <v>307</v>
      </c>
      <c r="E84" s="57">
        <v>284</v>
      </c>
      <c r="F84" s="56" t="s">
        <v>205</v>
      </c>
      <c r="G84" s="56"/>
      <c r="H84" s="56"/>
      <c r="I84" s="56" t="s">
        <v>301</v>
      </c>
      <c r="J84" s="56"/>
    </row>
    <row r="85" ht="20" customHeight="1" spans="1:10">
      <c r="A85" s="55"/>
      <c r="B85" s="56"/>
      <c r="C85" s="56"/>
      <c r="D85" s="56" t="s">
        <v>308</v>
      </c>
      <c r="E85" s="57">
        <v>15</v>
      </c>
      <c r="F85" s="56" t="s">
        <v>309</v>
      </c>
      <c r="G85" s="56" t="s">
        <v>310</v>
      </c>
      <c r="H85" s="56"/>
      <c r="I85" s="56" t="s">
        <v>311</v>
      </c>
      <c r="J85" s="56"/>
    </row>
    <row r="86" ht="20" customHeight="1" spans="1:10">
      <c r="A86" s="55"/>
      <c r="B86" s="56"/>
      <c r="C86" s="56"/>
      <c r="D86" s="56" t="s">
        <v>312</v>
      </c>
      <c r="E86" s="57">
        <v>10</v>
      </c>
      <c r="F86" s="56" t="s">
        <v>313</v>
      </c>
      <c r="G86" s="56" t="s">
        <v>310</v>
      </c>
      <c r="H86" s="56"/>
      <c r="I86" s="56" t="s">
        <v>284</v>
      </c>
      <c r="J86" s="56"/>
    </row>
    <row r="87" ht="20" customHeight="1" spans="1:10">
      <c r="A87" s="55">
        <v>44439</v>
      </c>
      <c r="B87" s="56">
        <v>1</v>
      </c>
      <c r="C87" s="56" t="s">
        <v>314</v>
      </c>
      <c r="D87" s="56" t="s">
        <v>115</v>
      </c>
      <c r="E87" s="57">
        <v>-100</v>
      </c>
      <c r="F87" s="56" t="s">
        <v>315</v>
      </c>
      <c r="G87" s="56" t="s">
        <v>130</v>
      </c>
      <c r="H87" s="56" t="s">
        <v>316</v>
      </c>
      <c r="I87" s="56" t="s">
        <v>50</v>
      </c>
      <c r="J87" s="56"/>
    </row>
    <row r="88" ht="20" customHeight="1" spans="1:10">
      <c r="A88" s="55">
        <v>44439</v>
      </c>
      <c r="B88" s="56">
        <v>3</v>
      </c>
      <c r="C88" s="56" t="s">
        <v>144</v>
      </c>
      <c r="D88" s="56" t="s">
        <v>317</v>
      </c>
      <c r="E88" s="57">
        <v>-900</v>
      </c>
      <c r="F88" s="56" t="s">
        <v>26</v>
      </c>
      <c r="G88" s="56" t="s">
        <v>130</v>
      </c>
      <c r="H88" s="56" t="s">
        <v>318</v>
      </c>
      <c r="I88" s="56" t="s">
        <v>50</v>
      </c>
      <c r="J88" s="56"/>
    </row>
    <row r="89" ht="20" customHeight="1" spans="1:10">
      <c r="A89" s="55">
        <v>44439</v>
      </c>
      <c r="B89" s="56">
        <v>5</v>
      </c>
      <c r="C89" s="56" t="s">
        <v>319</v>
      </c>
      <c r="D89" s="56" t="s">
        <v>137</v>
      </c>
      <c r="E89" s="57">
        <v>-1500</v>
      </c>
      <c r="F89" s="56" t="s">
        <v>20</v>
      </c>
      <c r="G89" s="56" t="s">
        <v>130</v>
      </c>
      <c r="H89" s="56" t="s">
        <v>320</v>
      </c>
      <c r="I89" s="56" t="s">
        <v>321</v>
      </c>
      <c r="J89" s="56"/>
    </row>
    <row r="90" ht="20" customHeight="1" spans="1:10">
      <c r="A90" s="55">
        <v>44439</v>
      </c>
      <c r="B90" s="56">
        <v>6</v>
      </c>
      <c r="C90" s="56" t="s">
        <v>322</v>
      </c>
      <c r="D90" s="56" t="s">
        <v>115</v>
      </c>
      <c r="E90" s="57">
        <v>-2000</v>
      </c>
      <c r="F90" s="56" t="s">
        <v>20</v>
      </c>
      <c r="G90" s="56" t="s">
        <v>130</v>
      </c>
      <c r="H90" s="56" t="s">
        <v>323</v>
      </c>
      <c r="I90" s="56" t="s">
        <v>50</v>
      </c>
      <c r="J90" s="56"/>
    </row>
    <row r="91" ht="20" customHeight="1" spans="1:10">
      <c r="A91" s="55">
        <v>44439</v>
      </c>
      <c r="B91" s="56">
        <v>7</v>
      </c>
      <c r="C91" s="56" t="s">
        <v>109</v>
      </c>
      <c r="D91" s="56" t="s">
        <v>110</v>
      </c>
      <c r="E91" s="57">
        <v>121</v>
      </c>
      <c r="F91" s="56" t="s">
        <v>111</v>
      </c>
      <c r="G91" s="4" t="s">
        <v>15</v>
      </c>
      <c r="H91" s="56" t="s">
        <v>324</v>
      </c>
      <c r="I91" s="56" t="s">
        <v>325</v>
      </c>
      <c r="J91" s="56"/>
    </row>
    <row r="92" ht="20" customHeight="1" spans="1:10">
      <c r="A92" s="55">
        <v>44439</v>
      </c>
      <c r="B92" s="56">
        <v>8</v>
      </c>
      <c r="C92" s="56" t="s">
        <v>114</v>
      </c>
      <c r="D92" s="56" t="s">
        <v>115</v>
      </c>
      <c r="E92" s="57">
        <v>1943.65</v>
      </c>
      <c r="F92" s="56" t="s">
        <v>116</v>
      </c>
      <c r="G92" s="4" t="s">
        <v>15</v>
      </c>
      <c r="H92" s="56" t="s">
        <v>326</v>
      </c>
      <c r="I92" s="56" t="s">
        <v>325</v>
      </c>
      <c r="J92" s="56"/>
    </row>
    <row r="93" ht="20" customHeight="1" spans="1:10">
      <c r="A93" s="55">
        <v>44439</v>
      </c>
      <c r="B93" s="56">
        <v>9</v>
      </c>
      <c r="C93" s="56" t="s">
        <v>327</v>
      </c>
      <c r="D93" s="56" t="s">
        <v>132</v>
      </c>
      <c r="E93" s="57">
        <v>200</v>
      </c>
      <c r="F93" s="56" t="s">
        <v>133</v>
      </c>
      <c r="G93" s="56" t="s">
        <v>134</v>
      </c>
      <c r="H93" s="56"/>
      <c r="I93" s="56" t="s">
        <v>328</v>
      </c>
      <c r="J93" s="56"/>
    </row>
    <row r="94" ht="20" customHeight="1" spans="1:10">
      <c r="A94" s="55"/>
      <c r="B94" s="56"/>
      <c r="C94" s="56"/>
      <c r="D94" s="56" t="s">
        <v>329</v>
      </c>
      <c r="E94" s="57">
        <v>200</v>
      </c>
      <c r="F94" s="56" t="s">
        <v>250</v>
      </c>
      <c r="G94" s="56" t="s">
        <v>134</v>
      </c>
      <c r="H94" s="56"/>
      <c r="I94" s="56" t="s">
        <v>50</v>
      </c>
      <c r="J94" s="56"/>
    </row>
    <row r="95" ht="20" customHeight="1" spans="1:10">
      <c r="A95" s="55"/>
      <c r="B95" s="56"/>
      <c r="C95" s="56"/>
      <c r="D95" s="56" t="s">
        <v>128</v>
      </c>
      <c r="E95" s="57">
        <v>40</v>
      </c>
      <c r="F95" s="56" t="s">
        <v>330</v>
      </c>
      <c r="G95" s="56" t="s">
        <v>130</v>
      </c>
      <c r="H95" s="56" t="s">
        <v>331</v>
      </c>
      <c r="I95" s="56" t="s">
        <v>321</v>
      </c>
      <c r="J95" s="56"/>
    </row>
    <row r="96" ht="20" customHeight="1" spans="1:10">
      <c r="A96" s="55">
        <v>44439</v>
      </c>
      <c r="B96" s="56">
        <v>10</v>
      </c>
      <c r="C96" s="56" t="s">
        <v>332</v>
      </c>
      <c r="D96" s="52" t="s">
        <v>269</v>
      </c>
      <c r="E96" s="57">
        <v>28</v>
      </c>
      <c r="F96" s="56" t="s">
        <v>205</v>
      </c>
      <c r="G96" s="56"/>
      <c r="H96" s="56"/>
      <c r="I96" s="56" t="s">
        <v>333</v>
      </c>
      <c r="J96" s="56"/>
    </row>
    <row r="97" ht="20" customHeight="1" spans="1:10">
      <c r="A97" s="55"/>
      <c r="B97" s="56"/>
      <c r="C97" s="56"/>
      <c r="D97" s="56" t="s">
        <v>124</v>
      </c>
      <c r="E97" s="57">
        <v>30</v>
      </c>
      <c r="F97" s="56" t="s">
        <v>125</v>
      </c>
      <c r="G97" s="56"/>
      <c r="H97" s="56"/>
      <c r="I97" s="56" t="s">
        <v>333</v>
      </c>
      <c r="J97" s="56"/>
    </row>
    <row r="98" ht="20" customHeight="1" spans="1:10">
      <c r="A98" s="55"/>
      <c r="B98" s="56"/>
      <c r="C98" s="56"/>
      <c r="D98" s="56" t="s">
        <v>334</v>
      </c>
      <c r="E98" s="57">
        <v>280.5</v>
      </c>
      <c r="F98" s="56" t="s">
        <v>335</v>
      </c>
      <c r="G98" s="4" t="s">
        <v>15</v>
      </c>
      <c r="H98" s="56" t="s">
        <v>336</v>
      </c>
      <c r="I98" s="56" t="s">
        <v>333</v>
      </c>
      <c r="J98" s="56"/>
    </row>
    <row r="99" ht="20" customHeight="1" spans="1:10">
      <c r="A99" s="55">
        <v>44469</v>
      </c>
      <c r="B99" s="56">
        <v>1</v>
      </c>
      <c r="C99" s="56" t="s">
        <v>337</v>
      </c>
      <c r="D99" s="56" t="s">
        <v>115</v>
      </c>
      <c r="E99" s="57">
        <v>1801.59</v>
      </c>
      <c r="F99" s="56" t="s">
        <v>116</v>
      </c>
      <c r="G99" s="4" t="s">
        <v>15</v>
      </c>
      <c r="H99" s="56" t="s">
        <v>338</v>
      </c>
      <c r="I99" s="56" t="s">
        <v>339</v>
      </c>
      <c r="J99" s="56"/>
    </row>
    <row r="100" ht="20" customHeight="1" spans="1:10">
      <c r="A100" s="55">
        <v>44469</v>
      </c>
      <c r="B100" s="56">
        <v>2</v>
      </c>
      <c r="C100" s="56" t="s">
        <v>109</v>
      </c>
      <c r="D100" s="56" t="s">
        <v>110</v>
      </c>
      <c r="E100" s="57">
        <v>121</v>
      </c>
      <c r="F100" s="56" t="s">
        <v>111</v>
      </c>
      <c r="G100" s="4" t="s">
        <v>15</v>
      </c>
      <c r="H100" s="56" t="s">
        <v>340</v>
      </c>
      <c r="I100" s="56" t="s">
        <v>341</v>
      </c>
      <c r="J100" s="56"/>
    </row>
    <row r="101" ht="20" customHeight="1" spans="1:10">
      <c r="A101" s="55">
        <v>44469</v>
      </c>
      <c r="B101" s="56">
        <v>4</v>
      </c>
      <c r="C101" s="56" t="s">
        <v>342</v>
      </c>
      <c r="D101" s="56" t="s">
        <v>269</v>
      </c>
      <c r="E101" s="57">
        <v>89</v>
      </c>
      <c r="F101" s="56" t="s">
        <v>205</v>
      </c>
      <c r="G101" s="56"/>
      <c r="H101" s="56"/>
      <c r="I101" s="56" t="s">
        <v>343</v>
      </c>
      <c r="J101" s="56"/>
    </row>
    <row r="102" ht="20" customHeight="1" spans="1:10">
      <c r="A102" s="55"/>
      <c r="B102" s="56"/>
      <c r="C102" s="56"/>
      <c r="D102" s="56" t="s">
        <v>307</v>
      </c>
      <c r="E102" s="57">
        <f>117-E101</f>
        <v>28</v>
      </c>
      <c r="F102" s="56" t="s">
        <v>125</v>
      </c>
      <c r="G102" s="56"/>
      <c r="H102" s="56"/>
      <c r="I102" s="56" t="s">
        <v>343</v>
      </c>
      <c r="J102" s="56"/>
    </row>
    <row r="103" ht="20" customHeight="1" spans="1:10">
      <c r="A103" s="55">
        <v>44469</v>
      </c>
      <c r="B103" s="56">
        <v>5</v>
      </c>
      <c r="C103" s="56" t="s">
        <v>344</v>
      </c>
      <c r="D103" s="56" t="s">
        <v>132</v>
      </c>
      <c r="E103" s="57">
        <v>200</v>
      </c>
      <c r="F103" s="56" t="s">
        <v>345</v>
      </c>
      <c r="G103" s="56" t="s">
        <v>134</v>
      </c>
      <c r="H103" s="56"/>
      <c r="I103" s="56" t="s">
        <v>343</v>
      </c>
      <c r="J103" s="56"/>
    </row>
    <row r="104" ht="20" customHeight="1" spans="1:10">
      <c r="A104" s="55">
        <v>44500</v>
      </c>
      <c r="B104" s="56">
        <v>1</v>
      </c>
      <c r="C104" s="56" t="s">
        <v>322</v>
      </c>
      <c r="D104" s="56" t="s">
        <v>115</v>
      </c>
      <c r="E104" s="57">
        <v>-1681</v>
      </c>
      <c r="F104" s="56" t="s">
        <v>20</v>
      </c>
      <c r="G104" s="56" t="s">
        <v>130</v>
      </c>
      <c r="H104" s="56" t="s">
        <v>346</v>
      </c>
      <c r="I104" s="56" t="s">
        <v>347</v>
      </c>
      <c r="J104" s="56"/>
    </row>
    <row r="105" ht="20" customHeight="1" spans="1:10">
      <c r="A105" s="55">
        <v>44500</v>
      </c>
      <c r="B105" s="56">
        <v>2</v>
      </c>
      <c r="C105" s="56" t="s">
        <v>216</v>
      </c>
      <c r="D105" s="56" t="s">
        <v>110</v>
      </c>
      <c r="E105" s="57">
        <v>121</v>
      </c>
      <c r="F105" s="56" t="s">
        <v>111</v>
      </c>
      <c r="G105" s="4" t="s">
        <v>15</v>
      </c>
      <c r="H105" s="56" t="s">
        <v>348</v>
      </c>
      <c r="I105" s="56" t="s">
        <v>349</v>
      </c>
      <c r="J105" s="56"/>
    </row>
    <row r="106" ht="20" customHeight="1" spans="1:10">
      <c r="A106" s="55">
        <v>44500</v>
      </c>
      <c r="B106" s="56">
        <v>3</v>
      </c>
      <c r="C106" s="56" t="s">
        <v>114</v>
      </c>
      <c r="D106" s="56" t="s">
        <v>115</v>
      </c>
      <c r="E106" s="57">
        <v>814.79</v>
      </c>
      <c r="F106" s="56" t="s">
        <v>116</v>
      </c>
      <c r="G106" s="4" t="s">
        <v>15</v>
      </c>
      <c r="H106" s="56" t="s">
        <v>350</v>
      </c>
      <c r="I106" s="56" t="s">
        <v>349</v>
      </c>
      <c r="J106" s="56"/>
    </row>
    <row r="107" ht="20" customHeight="1" spans="1:10">
      <c r="A107" s="55">
        <v>44530</v>
      </c>
      <c r="B107" s="56">
        <v>1</v>
      </c>
      <c r="C107" s="56" t="s">
        <v>216</v>
      </c>
      <c r="D107" s="56" t="s">
        <v>110</v>
      </c>
      <c r="E107" s="57">
        <v>121</v>
      </c>
      <c r="F107" s="56" t="s">
        <v>111</v>
      </c>
      <c r="G107" s="4" t="s">
        <v>15</v>
      </c>
      <c r="H107" s="56" t="s">
        <v>351</v>
      </c>
      <c r="I107" s="56" t="s">
        <v>352</v>
      </c>
      <c r="J107" s="56"/>
    </row>
    <row r="108" ht="20" customHeight="1" spans="1:10">
      <c r="A108" s="55">
        <v>44530</v>
      </c>
      <c r="B108" s="56">
        <v>2</v>
      </c>
      <c r="C108" s="56" t="s">
        <v>114</v>
      </c>
      <c r="D108" s="56" t="s">
        <v>115</v>
      </c>
      <c r="E108" s="57">
        <v>684.56</v>
      </c>
      <c r="F108" s="56" t="s">
        <v>116</v>
      </c>
      <c r="G108" s="4" t="s">
        <v>15</v>
      </c>
      <c r="H108" s="56" t="s">
        <v>353</v>
      </c>
      <c r="I108" s="56" t="s">
        <v>352</v>
      </c>
      <c r="J108" s="56"/>
    </row>
    <row r="109" ht="20" customHeight="1" spans="1:10">
      <c r="A109" s="55">
        <v>44530</v>
      </c>
      <c r="B109" s="56">
        <v>3</v>
      </c>
      <c r="C109" s="56" t="s">
        <v>354</v>
      </c>
      <c r="D109" s="56" t="s">
        <v>132</v>
      </c>
      <c r="E109" s="57">
        <v>200</v>
      </c>
      <c r="F109" s="56" t="s">
        <v>345</v>
      </c>
      <c r="G109" s="56" t="s">
        <v>134</v>
      </c>
      <c r="H109" s="56"/>
      <c r="I109" s="56" t="s">
        <v>355</v>
      </c>
      <c r="J109" s="56"/>
    </row>
    <row r="110" ht="20" customHeight="1" spans="1:10">
      <c r="A110" s="55">
        <v>44561</v>
      </c>
      <c r="B110" s="4">
        <v>2</v>
      </c>
      <c r="C110" s="4" t="s">
        <v>356</v>
      </c>
      <c r="D110" s="56" t="s">
        <v>137</v>
      </c>
      <c r="E110" s="57">
        <v>450</v>
      </c>
      <c r="F110" s="56" t="s">
        <v>20</v>
      </c>
      <c r="G110" s="56" t="s">
        <v>130</v>
      </c>
      <c r="H110" s="56" t="s">
        <v>357</v>
      </c>
      <c r="I110" s="56" t="s">
        <v>60</v>
      </c>
      <c r="J110" s="56">
        <v>412</v>
      </c>
    </row>
    <row r="111" ht="20" customHeight="1" spans="1:10">
      <c r="A111" s="55"/>
      <c r="B111" s="56"/>
      <c r="C111" s="56"/>
      <c r="D111" s="56" t="s">
        <v>115</v>
      </c>
      <c r="E111" s="57">
        <v>61.5</v>
      </c>
      <c r="F111" s="56" t="s">
        <v>20</v>
      </c>
      <c r="G111" s="56" t="s">
        <v>130</v>
      </c>
      <c r="H111" s="56" t="s">
        <v>358</v>
      </c>
      <c r="I111" s="56" t="s">
        <v>60</v>
      </c>
      <c r="J111" s="56">
        <v>412</v>
      </c>
    </row>
    <row r="112" ht="20" customHeight="1" spans="1:10">
      <c r="A112" s="55"/>
      <c r="B112" s="56"/>
      <c r="C112" s="56"/>
      <c r="D112" s="56" t="s">
        <v>115</v>
      </c>
      <c r="E112" s="57">
        <v>894</v>
      </c>
      <c r="F112" s="56" t="s">
        <v>20</v>
      </c>
      <c r="G112" s="56" t="s">
        <v>130</v>
      </c>
      <c r="H112" s="56" t="s">
        <v>359</v>
      </c>
      <c r="I112" s="56" t="s">
        <v>60</v>
      </c>
      <c r="J112" s="56" t="s">
        <v>360</v>
      </c>
    </row>
    <row r="113" ht="20" customHeight="1" spans="1:10">
      <c r="A113" s="55">
        <v>44561</v>
      </c>
      <c r="B113" s="56">
        <v>3</v>
      </c>
      <c r="C113" s="56" t="s">
        <v>216</v>
      </c>
      <c r="D113" s="56" t="s">
        <v>110</v>
      </c>
      <c r="E113" s="57">
        <v>121</v>
      </c>
      <c r="F113" s="56" t="s">
        <v>111</v>
      </c>
      <c r="G113" s="4" t="s">
        <v>15</v>
      </c>
      <c r="H113" s="56" t="s">
        <v>361</v>
      </c>
      <c r="I113" s="56" t="s">
        <v>362</v>
      </c>
      <c r="J113" s="56"/>
    </row>
    <row r="114" ht="20" customHeight="1" spans="1:10">
      <c r="A114" s="55">
        <v>44561</v>
      </c>
      <c r="B114" s="56">
        <v>4</v>
      </c>
      <c r="C114" s="56" t="s">
        <v>114</v>
      </c>
      <c r="D114" s="56" t="s">
        <v>115</v>
      </c>
      <c r="E114" s="57">
        <v>406</v>
      </c>
      <c r="F114" s="56" t="s">
        <v>116</v>
      </c>
      <c r="G114" s="4" t="s">
        <v>15</v>
      </c>
      <c r="H114" s="56" t="s">
        <v>363</v>
      </c>
      <c r="I114" s="56" t="s">
        <v>362</v>
      </c>
      <c r="J114" s="56"/>
    </row>
    <row r="115" ht="20" customHeight="1" spans="1:10">
      <c r="A115" s="55">
        <v>44561</v>
      </c>
      <c r="B115" s="56">
        <v>5</v>
      </c>
      <c r="C115" s="56" t="s">
        <v>364</v>
      </c>
      <c r="D115" s="56" t="s">
        <v>158</v>
      </c>
      <c r="E115" s="57">
        <v>76.8</v>
      </c>
      <c r="F115" s="56" t="s">
        <v>159</v>
      </c>
      <c r="G115" s="4" t="s">
        <v>15</v>
      </c>
      <c r="H115" s="56" t="s">
        <v>365</v>
      </c>
      <c r="I115" s="56" t="s">
        <v>366</v>
      </c>
      <c r="J115" s="56"/>
    </row>
    <row r="116" ht="20" customHeight="1" spans="1:10">
      <c r="A116" s="55"/>
      <c r="B116" s="56"/>
      <c r="C116" s="56"/>
      <c r="D116" s="56" t="s">
        <v>269</v>
      </c>
      <c r="E116" s="57">
        <v>30</v>
      </c>
      <c r="F116" s="56" t="s">
        <v>205</v>
      </c>
      <c r="G116" s="56"/>
      <c r="H116" s="56"/>
      <c r="I116" s="56" t="s">
        <v>367</v>
      </c>
      <c r="J116" s="56"/>
    </row>
    <row r="117" ht="20" customHeight="1" spans="1:10">
      <c r="A117" s="55">
        <v>44592</v>
      </c>
      <c r="B117" s="56">
        <v>1</v>
      </c>
      <c r="C117" s="56" t="s">
        <v>216</v>
      </c>
      <c r="D117" s="56" t="s">
        <v>110</v>
      </c>
      <c r="E117" s="57">
        <v>119</v>
      </c>
      <c r="F117" s="56" t="s">
        <v>111</v>
      </c>
      <c r="G117" s="4" t="s">
        <v>15</v>
      </c>
      <c r="H117" s="56" t="s">
        <v>368</v>
      </c>
      <c r="I117" s="56" t="s">
        <v>369</v>
      </c>
      <c r="J117" s="56"/>
    </row>
    <row r="118" ht="20" customHeight="1" spans="1:10">
      <c r="A118" s="55">
        <v>44592</v>
      </c>
      <c r="B118" s="56">
        <v>2</v>
      </c>
      <c r="C118" s="56" t="s">
        <v>114</v>
      </c>
      <c r="D118" s="56" t="s">
        <v>115</v>
      </c>
      <c r="E118" s="57">
        <v>303.61</v>
      </c>
      <c r="F118" s="56" t="s">
        <v>116</v>
      </c>
      <c r="G118" s="4" t="s">
        <v>15</v>
      </c>
      <c r="H118" s="56" t="s">
        <v>370</v>
      </c>
      <c r="I118" s="56" t="s">
        <v>369</v>
      </c>
      <c r="J118" s="56"/>
    </row>
    <row r="119" ht="20" customHeight="1" spans="1:10">
      <c r="A119" s="55">
        <v>44592</v>
      </c>
      <c r="B119" s="56">
        <v>4</v>
      </c>
      <c r="C119" s="56" t="s">
        <v>342</v>
      </c>
      <c r="D119" s="56" t="s">
        <v>269</v>
      </c>
      <c r="E119" s="57">
        <v>35</v>
      </c>
      <c r="F119" s="56" t="s">
        <v>205</v>
      </c>
      <c r="G119" s="56"/>
      <c r="H119" s="56"/>
      <c r="I119" s="56" t="s">
        <v>371</v>
      </c>
      <c r="J119" s="56"/>
    </row>
    <row r="120" ht="20" customHeight="1" spans="1:10">
      <c r="A120" s="55"/>
      <c r="B120" s="56"/>
      <c r="C120" s="56"/>
      <c r="D120" s="56" t="s">
        <v>307</v>
      </c>
      <c r="E120" s="57">
        <v>8</v>
      </c>
      <c r="F120" s="56" t="s">
        <v>125</v>
      </c>
      <c r="G120" s="56"/>
      <c r="H120" s="56"/>
      <c r="I120" s="56" t="s">
        <v>371</v>
      </c>
      <c r="J120" s="56"/>
    </row>
    <row r="121" ht="20" customHeight="1" spans="1:10">
      <c r="A121" s="55">
        <v>44620</v>
      </c>
      <c r="B121" s="56">
        <v>1</v>
      </c>
      <c r="C121" s="56" t="s">
        <v>216</v>
      </c>
      <c r="D121" s="56" t="s">
        <v>110</v>
      </c>
      <c r="E121" s="57">
        <v>119</v>
      </c>
      <c r="F121" s="56" t="s">
        <v>111</v>
      </c>
      <c r="G121" s="4" t="s">
        <v>15</v>
      </c>
      <c r="H121" s="56" t="s">
        <v>372</v>
      </c>
      <c r="I121" s="56" t="s">
        <v>373</v>
      </c>
      <c r="J121" s="56"/>
    </row>
    <row r="122" ht="20" customHeight="1" spans="1:10">
      <c r="A122" s="55">
        <v>44620</v>
      </c>
      <c r="B122" s="56">
        <v>2</v>
      </c>
      <c r="C122" s="56" t="s">
        <v>114</v>
      </c>
      <c r="D122" s="56" t="s">
        <v>115</v>
      </c>
      <c r="E122" s="57">
        <v>666.98</v>
      </c>
      <c r="F122" s="56" t="s">
        <v>116</v>
      </c>
      <c r="G122" s="4" t="s">
        <v>15</v>
      </c>
      <c r="H122" s="56" t="s">
        <v>374</v>
      </c>
      <c r="I122" s="56" t="s">
        <v>373</v>
      </c>
      <c r="J122" s="56"/>
    </row>
    <row r="123" ht="20" customHeight="1" spans="1:10">
      <c r="A123" s="55">
        <v>44620</v>
      </c>
      <c r="B123" s="56">
        <v>3</v>
      </c>
      <c r="C123" s="56" t="s">
        <v>375</v>
      </c>
      <c r="D123" s="56" t="s">
        <v>163</v>
      </c>
      <c r="E123" s="57">
        <v>300</v>
      </c>
      <c r="F123" s="56" t="s">
        <v>345</v>
      </c>
      <c r="G123" s="56" t="s">
        <v>134</v>
      </c>
      <c r="H123" s="56"/>
      <c r="I123" s="56" t="s">
        <v>376</v>
      </c>
      <c r="J123" s="56"/>
    </row>
    <row r="124" ht="20" customHeight="1" spans="1:10">
      <c r="A124" s="55">
        <v>44651</v>
      </c>
      <c r="B124" s="56">
        <v>2</v>
      </c>
      <c r="C124" s="4" t="s">
        <v>377</v>
      </c>
      <c r="D124" s="56" t="s">
        <v>137</v>
      </c>
      <c r="E124" s="57">
        <v>-1650</v>
      </c>
      <c r="F124" s="56" t="s">
        <v>20</v>
      </c>
      <c r="G124" s="56" t="s">
        <v>130</v>
      </c>
      <c r="H124" s="56" t="s">
        <v>378</v>
      </c>
      <c r="I124" s="56" t="s">
        <v>66</v>
      </c>
      <c r="J124" s="56"/>
    </row>
    <row r="125" ht="20" customHeight="1" spans="1:10">
      <c r="A125" s="55">
        <v>44651</v>
      </c>
      <c r="B125" s="56">
        <v>3</v>
      </c>
      <c r="C125" s="56" t="s">
        <v>146</v>
      </c>
      <c r="D125" s="56" t="s">
        <v>115</v>
      </c>
      <c r="E125" s="57">
        <v>-620</v>
      </c>
      <c r="F125" s="56" t="s">
        <v>31</v>
      </c>
      <c r="G125" s="56" t="s">
        <v>130</v>
      </c>
      <c r="H125" s="56" t="s">
        <v>379</v>
      </c>
      <c r="I125" s="56" t="s">
        <v>380</v>
      </c>
      <c r="J125" s="56"/>
    </row>
    <row r="126" ht="20" customHeight="1" spans="1:10">
      <c r="A126" s="55">
        <v>44651</v>
      </c>
      <c r="B126" s="56">
        <v>4</v>
      </c>
      <c r="C126" s="56" t="s">
        <v>216</v>
      </c>
      <c r="D126" s="56" t="s">
        <v>110</v>
      </c>
      <c r="E126" s="57">
        <v>129</v>
      </c>
      <c r="F126" s="56" t="s">
        <v>111</v>
      </c>
      <c r="G126" s="4" t="s">
        <v>15</v>
      </c>
      <c r="H126" s="56" t="s">
        <v>381</v>
      </c>
      <c r="I126" s="56" t="s">
        <v>382</v>
      </c>
      <c r="J126" s="56"/>
    </row>
    <row r="127" ht="20" customHeight="1" spans="1:10">
      <c r="A127" s="55">
        <v>44651</v>
      </c>
      <c r="B127" s="56">
        <v>5</v>
      </c>
      <c r="C127" s="56" t="s">
        <v>114</v>
      </c>
      <c r="D127" s="56" t="s">
        <v>115</v>
      </c>
      <c r="E127" s="57">
        <v>677.64</v>
      </c>
      <c r="F127" s="56" t="s">
        <v>116</v>
      </c>
      <c r="G127" s="4" t="s">
        <v>15</v>
      </c>
      <c r="H127" s="56" t="s">
        <v>383</v>
      </c>
      <c r="I127" s="56" t="s">
        <v>382</v>
      </c>
      <c r="J127" s="56"/>
    </row>
    <row r="128" ht="20" customHeight="1" spans="1:10">
      <c r="A128" s="55">
        <v>44651</v>
      </c>
      <c r="B128" s="56">
        <v>6</v>
      </c>
      <c r="C128" s="56" t="s">
        <v>342</v>
      </c>
      <c r="D128" s="56" t="s">
        <v>124</v>
      </c>
      <c r="E128" s="57">
        <v>12</v>
      </c>
      <c r="F128" s="56" t="s">
        <v>125</v>
      </c>
      <c r="G128" s="56"/>
      <c r="H128" s="56"/>
      <c r="I128" s="56" t="s">
        <v>384</v>
      </c>
      <c r="J128" s="56"/>
    </row>
    <row r="129" ht="20" customHeight="1" spans="1:10">
      <c r="A129" s="55">
        <v>44681</v>
      </c>
      <c r="B129" s="56">
        <v>1</v>
      </c>
      <c r="C129" s="56" t="s">
        <v>385</v>
      </c>
      <c r="D129" s="56" t="s">
        <v>115</v>
      </c>
      <c r="E129" s="57">
        <v>-80</v>
      </c>
      <c r="F129" s="56" t="s">
        <v>26</v>
      </c>
      <c r="G129" s="56" t="s">
        <v>130</v>
      </c>
      <c r="H129" s="56" t="s">
        <v>386</v>
      </c>
      <c r="I129" s="56" t="s">
        <v>73</v>
      </c>
      <c r="J129" s="56"/>
    </row>
    <row r="130" ht="20" customHeight="1" spans="1:10">
      <c r="A130" s="55">
        <v>44681</v>
      </c>
      <c r="B130" s="56">
        <v>2</v>
      </c>
      <c r="C130" s="56" t="s">
        <v>216</v>
      </c>
      <c r="D130" s="56" t="s">
        <v>110</v>
      </c>
      <c r="E130" s="57">
        <v>129</v>
      </c>
      <c r="F130" s="56" t="s">
        <v>111</v>
      </c>
      <c r="G130" s="4" t="s">
        <v>15</v>
      </c>
      <c r="H130" s="56" t="s">
        <v>387</v>
      </c>
      <c r="I130" s="56" t="s">
        <v>388</v>
      </c>
      <c r="J130" s="56"/>
    </row>
    <row r="131" ht="20" customHeight="1" spans="1:10">
      <c r="A131" s="55">
        <v>44681</v>
      </c>
      <c r="B131" s="56">
        <v>3</v>
      </c>
      <c r="C131" s="56" t="s">
        <v>114</v>
      </c>
      <c r="D131" s="56" t="s">
        <v>115</v>
      </c>
      <c r="E131" s="57">
        <v>307.47</v>
      </c>
      <c r="F131" s="56" t="s">
        <v>116</v>
      </c>
      <c r="G131" s="4" t="s">
        <v>15</v>
      </c>
      <c r="H131" s="56" t="s">
        <v>389</v>
      </c>
      <c r="I131" s="56" t="s">
        <v>388</v>
      </c>
      <c r="J131" s="56"/>
    </row>
    <row r="132" ht="20" customHeight="1" spans="1:10">
      <c r="A132" s="55">
        <v>44681</v>
      </c>
      <c r="B132" s="56">
        <v>4</v>
      </c>
      <c r="C132" s="56" t="s">
        <v>342</v>
      </c>
      <c r="D132" s="56" t="s">
        <v>269</v>
      </c>
      <c r="E132" s="57">
        <v>11</v>
      </c>
      <c r="F132" s="56" t="s">
        <v>205</v>
      </c>
      <c r="G132" s="56"/>
      <c r="H132" s="56"/>
      <c r="I132" s="56" t="s">
        <v>390</v>
      </c>
      <c r="J132" s="56"/>
    </row>
    <row r="133" ht="20" customHeight="1" spans="1:10">
      <c r="A133" s="55"/>
      <c r="B133" s="56"/>
      <c r="C133" s="56"/>
      <c r="D133" s="56" t="s">
        <v>124</v>
      </c>
      <c r="E133" s="57">
        <v>10</v>
      </c>
      <c r="F133" s="56" t="s">
        <v>125</v>
      </c>
      <c r="G133" s="56"/>
      <c r="H133" s="56"/>
      <c r="I133" s="56" t="s">
        <v>390</v>
      </c>
      <c r="J133" s="56"/>
    </row>
    <row r="134" ht="20" customHeight="1" spans="1:10">
      <c r="A134" s="55"/>
      <c r="B134" s="56"/>
      <c r="C134" s="56"/>
      <c r="D134" s="56" t="s">
        <v>269</v>
      </c>
      <c r="E134" s="57">
        <v>11</v>
      </c>
      <c r="F134" s="56" t="s">
        <v>205</v>
      </c>
      <c r="G134" s="56"/>
      <c r="H134" s="56"/>
      <c r="I134" s="56" t="s">
        <v>391</v>
      </c>
      <c r="J134" s="56"/>
    </row>
    <row r="135" ht="20" customHeight="1" spans="1:10">
      <c r="A135" s="55"/>
      <c r="B135" s="56"/>
      <c r="C135" s="56"/>
      <c r="D135" s="56" t="s">
        <v>124</v>
      </c>
      <c r="E135" s="57">
        <v>2</v>
      </c>
      <c r="F135" s="56" t="s">
        <v>125</v>
      </c>
      <c r="G135" s="56"/>
      <c r="I135" s="56" t="s">
        <v>391</v>
      </c>
      <c r="J135" s="56"/>
    </row>
    <row r="136" ht="20" customHeight="1" spans="1:10">
      <c r="A136" s="55">
        <v>44712</v>
      </c>
      <c r="B136" s="56">
        <v>1</v>
      </c>
      <c r="C136" s="56" t="s">
        <v>392</v>
      </c>
      <c r="D136" s="56" t="s">
        <v>115</v>
      </c>
      <c r="E136" s="57">
        <v>-400</v>
      </c>
      <c r="F136" s="4" t="s">
        <v>40</v>
      </c>
      <c r="G136" s="56" t="s">
        <v>130</v>
      </c>
      <c r="H136" s="56" t="s">
        <v>393</v>
      </c>
      <c r="I136" s="56" t="s">
        <v>394</v>
      </c>
      <c r="J136" s="56"/>
    </row>
    <row r="137" ht="20" customHeight="1" spans="1:10">
      <c r="A137" s="55">
        <v>44712</v>
      </c>
      <c r="B137" s="56">
        <v>2</v>
      </c>
      <c r="C137" s="56" t="s">
        <v>216</v>
      </c>
      <c r="D137" s="56" t="s">
        <v>110</v>
      </c>
      <c r="E137" s="57">
        <v>129</v>
      </c>
      <c r="F137" s="56" t="s">
        <v>111</v>
      </c>
      <c r="G137" s="4" t="s">
        <v>15</v>
      </c>
      <c r="H137" s="56" t="s">
        <v>395</v>
      </c>
      <c r="I137" s="56" t="s">
        <v>396</v>
      </c>
      <c r="J137" s="56"/>
    </row>
    <row r="138" ht="20" customHeight="1" spans="1:10">
      <c r="A138" s="55">
        <v>44712</v>
      </c>
      <c r="B138" s="56">
        <v>3</v>
      </c>
      <c r="C138" s="56" t="s">
        <v>114</v>
      </c>
      <c r="D138" s="56" t="s">
        <v>115</v>
      </c>
      <c r="E138" s="57">
        <v>181.44</v>
      </c>
      <c r="F138" s="56" t="s">
        <v>116</v>
      </c>
      <c r="G138" s="4" t="s">
        <v>15</v>
      </c>
      <c r="H138" s="56" t="s">
        <v>397</v>
      </c>
      <c r="I138" s="56" t="s">
        <v>396</v>
      </c>
      <c r="J138" s="56"/>
    </row>
    <row r="139" ht="20" customHeight="1" spans="1:10">
      <c r="A139" s="55">
        <v>44712</v>
      </c>
      <c r="B139" s="56">
        <v>6</v>
      </c>
      <c r="C139" s="56" t="s">
        <v>342</v>
      </c>
      <c r="D139" s="56" t="s">
        <v>269</v>
      </c>
      <c r="E139" s="57">
        <v>34</v>
      </c>
      <c r="F139" s="56" t="s">
        <v>205</v>
      </c>
      <c r="G139" s="56"/>
      <c r="H139" s="56"/>
      <c r="I139" s="56" t="s">
        <v>398</v>
      </c>
      <c r="J139" s="56"/>
    </row>
    <row r="140" ht="20" customHeight="1" spans="1:10">
      <c r="A140" s="55"/>
      <c r="B140" s="56"/>
      <c r="C140" s="56"/>
      <c r="D140" s="56" t="s">
        <v>124</v>
      </c>
      <c r="E140" s="57">
        <v>20</v>
      </c>
      <c r="F140" s="56" t="s">
        <v>125</v>
      </c>
      <c r="G140" s="56"/>
      <c r="H140" s="56"/>
      <c r="I140" s="56" t="s">
        <v>396</v>
      </c>
      <c r="J140" s="56"/>
    </row>
    <row r="141" ht="20" customHeight="1" spans="1:10">
      <c r="A141" s="55"/>
      <c r="B141" s="56"/>
      <c r="C141" s="56"/>
      <c r="D141" s="56" t="s">
        <v>269</v>
      </c>
      <c r="E141" s="57">
        <v>12</v>
      </c>
      <c r="F141" s="56" t="s">
        <v>205</v>
      </c>
      <c r="G141" s="56"/>
      <c r="H141" s="56"/>
      <c r="I141" s="52" t="s">
        <v>399</v>
      </c>
      <c r="J141" s="56"/>
    </row>
    <row r="142" ht="20" customHeight="1" spans="1:10">
      <c r="A142" s="55"/>
      <c r="B142" s="56"/>
      <c r="C142" s="56"/>
      <c r="D142" s="56" t="s">
        <v>124</v>
      </c>
      <c r="E142" s="57">
        <v>4</v>
      </c>
      <c r="F142" s="56" t="s">
        <v>125</v>
      </c>
      <c r="G142" s="56"/>
      <c r="H142" s="56"/>
      <c r="I142" s="56" t="s">
        <v>399</v>
      </c>
      <c r="J142" s="56"/>
    </row>
    <row r="143" ht="20" customHeight="1" spans="1:10">
      <c r="A143" s="55">
        <v>44712</v>
      </c>
      <c r="B143" s="56">
        <v>7</v>
      </c>
      <c r="C143" s="56" t="s">
        <v>400</v>
      </c>
      <c r="D143" s="56" t="s">
        <v>163</v>
      </c>
      <c r="E143" s="57">
        <v>200</v>
      </c>
      <c r="F143" s="56" t="s">
        <v>345</v>
      </c>
      <c r="G143" s="56" t="s">
        <v>134</v>
      </c>
      <c r="H143" s="56"/>
      <c r="I143" s="56" t="s">
        <v>399</v>
      </c>
      <c r="J143" s="56"/>
    </row>
    <row r="144" ht="20" customHeight="1" spans="1:10">
      <c r="A144" s="55">
        <v>44742</v>
      </c>
      <c r="B144" s="56">
        <v>1</v>
      </c>
      <c r="C144" s="56" t="s">
        <v>216</v>
      </c>
      <c r="D144" s="56" t="s">
        <v>110</v>
      </c>
      <c r="E144" s="57">
        <v>129</v>
      </c>
      <c r="F144" s="56" t="s">
        <v>111</v>
      </c>
      <c r="G144" s="4" t="s">
        <v>15</v>
      </c>
      <c r="H144" s="56" t="s">
        <v>401</v>
      </c>
      <c r="I144" s="56" t="s">
        <v>402</v>
      </c>
      <c r="J144" s="56"/>
    </row>
    <row r="145" ht="20" customHeight="1" spans="1:10">
      <c r="A145" s="55">
        <v>44742</v>
      </c>
      <c r="B145" s="56">
        <v>2</v>
      </c>
      <c r="C145" s="56" t="s">
        <v>114</v>
      </c>
      <c r="D145" s="56" t="s">
        <v>115</v>
      </c>
      <c r="E145" s="57">
        <v>538.75</v>
      </c>
      <c r="F145" s="56" t="s">
        <v>116</v>
      </c>
      <c r="G145" s="4" t="s">
        <v>15</v>
      </c>
      <c r="H145" s="56" t="s">
        <v>403</v>
      </c>
      <c r="I145" s="56" t="s">
        <v>402</v>
      </c>
      <c r="J145" s="56"/>
    </row>
    <row r="146" ht="20" customHeight="1" spans="1:10">
      <c r="A146" s="55">
        <v>44742</v>
      </c>
      <c r="B146" s="56">
        <v>3</v>
      </c>
      <c r="C146" s="56" t="s">
        <v>404</v>
      </c>
      <c r="D146" s="56" t="s">
        <v>269</v>
      </c>
      <c r="E146" s="57">
        <v>11</v>
      </c>
      <c r="F146" s="56"/>
      <c r="G146" s="56"/>
      <c r="H146" s="56"/>
      <c r="I146" s="58" t="s">
        <v>405</v>
      </c>
      <c r="J146" s="56"/>
    </row>
    <row r="147" ht="20" customHeight="1" spans="1:10">
      <c r="A147" s="55"/>
      <c r="B147" s="56"/>
      <c r="C147" s="56"/>
      <c r="D147" s="56" t="s">
        <v>124</v>
      </c>
      <c r="E147" s="57">
        <v>2</v>
      </c>
      <c r="F147" s="56"/>
      <c r="G147" s="56"/>
      <c r="H147" s="56"/>
      <c r="I147" s="59"/>
      <c r="J147" s="56"/>
    </row>
    <row r="148" ht="20" customHeight="1" spans="1:10">
      <c r="A148" s="55"/>
      <c r="B148" s="56"/>
      <c r="C148" s="56"/>
      <c r="D148" s="56" t="s">
        <v>406</v>
      </c>
      <c r="E148" s="57">
        <v>40</v>
      </c>
      <c r="F148" s="56" t="s">
        <v>407</v>
      </c>
      <c r="G148" s="56" t="s">
        <v>130</v>
      </c>
      <c r="H148" s="56" t="s">
        <v>408</v>
      </c>
      <c r="I148" s="56" t="s">
        <v>409</v>
      </c>
      <c r="J148" s="56"/>
    </row>
    <row r="149" ht="20" customHeight="1" spans="1:10">
      <c r="A149" s="55"/>
      <c r="B149" s="56"/>
      <c r="C149" s="56"/>
      <c r="D149" s="56" t="s">
        <v>253</v>
      </c>
      <c r="E149" s="57">
        <v>50</v>
      </c>
      <c r="F149" s="56" t="s">
        <v>193</v>
      </c>
      <c r="G149" s="56" t="s">
        <v>134</v>
      </c>
      <c r="H149" s="56"/>
      <c r="I149" s="56" t="s">
        <v>409</v>
      </c>
      <c r="J149" s="56"/>
    </row>
    <row r="150" ht="20" customHeight="1" spans="1:10">
      <c r="A150" s="55"/>
      <c r="B150" s="56"/>
      <c r="C150" s="56"/>
      <c r="D150" s="56" t="s">
        <v>163</v>
      </c>
      <c r="E150" s="57">
        <v>200</v>
      </c>
      <c r="F150" s="56" t="s">
        <v>345</v>
      </c>
      <c r="G150" s="56" t="s">
        <v>134</v>
      </c>
      <c r="H150" s="56"/>
      <c r="I150" s="56" t="s">
        <v>410</v>
      </c>
      <c r="J150" s="56"/>
    </row>
    <row r="151" ht="20" customHeight="1" spans="1:10">
      <c r="A151" s="55">
        <v>44773</v>
      </c>
      <c r="B151" s="56">
        <v>1</v>
      </c>
      <c r="C151" s="4" t="s">
        <v>411</v>
      </c>
      <c r="D151" s="56" t="s">
        <v>137</v>
      </c>
      <c r="E151" s="57">
        <v>-1650</v>
      </c>
      <c r="F151" s="56" t="s">
        <v>20</v>
      </c>
      <c r="G151" s="56" t="s">
        <v>130</v>
      </c>
      <c r="H151" s="56" t="s">
        <v>412</v>
      </c>
      <c r="I151" s="56" t="s">
        <v>76</v>
      </c>
      <c r="J151" s="56"/>
    </row>
    <row r="152" ht="20" customHeight="1" spans="1:10">
      <c r="A152" s="55">
        <v>44773</v>
      </c>
      <c r="B152" s="56"/>
      <c r="C152" s="4" t="s">
        <v>413</v>
      </c>
      <c r="D152" s="56"/>
      <c r="E152" s="57">
        <v>-1000</v>
      </c>
      <c r="F152" s="56" t="s">
        <v>20</v>
      </c>
      <c r="G152" s="56" t="s">
        <v>130</v>
      </c>
      <c r="H152" s="56" t="s">
        <v>414</v>
      </c>
      <c r="I152" s="56" t="s">
        <v>76</v>
      </c>
      <c r="J152" s="56"/>
    </row>
    <row r="153" ht="20" customHeight="1" spans="1:10">
      <c r="A153" s="55">
        <v>44773</v>
      </c>
      <c r="B153" s="56">
        <v>3</v>
      </c>
      <c r="C153" s="56" t="s">
        <v>415</v>
      </c>
      <c r="D153" s="56" t="s">
        <v>115</v>
      </c>
      <c r="E153" s="57">
        <v>-1710</v>
      </c>
      <c r="F153" s="56" t="s">
        <v>20</v>
      </c>
      <c r="G153" s="56" t="s">
        <v>130</v>
      </c>
      <c r="H153" s="56" t="s">
        <v>416</v>
      </c>
      <c r="I153" s="56" t="s">
        <v>76</v>
      </c>
      <c r="J153" s="56"/>
    </row>
    <row r="154" ht="20" customHeight="1" spans="1:10">
      <c r="A154" s="55"/>
      <c r="B154" s="56"/>
      <c r="C154" s="56" t="s">
        <v>417</v>
      </c>
      <c r="D154" s="56" t="s">
        <v>115</v>
      </c>
      <c r="E154" s="57">
        <v>-102</v>
      </c>
      <c r="F154" s="56" t="s">
        <v>20</v>
      </c>
      <c r="G154" s="56" t="s">
        <v>130</v>
      </c>
      <c r="H154" s="56" t="s">
        <v>418</v>
      </c>
      <c r="I154" s="56" t="s">
        <v>76</v>
      </c>
      <c r="J154" s="56"/>
    </row>
    <row r="155" ht="20" customHeight="1" spans="1:10">
      <c r="A155" s="55"/>
      <c r="B155" s="56"/>
      <c r="C155" s="56" t="s">
        <v>415</v>
      </c>
      <c r="D155" s="56" t="s">
        <v>115</v>
      </c>
      <c r="E155" s="57">
        <v>-1895</v>
      </c>
      <c r="F155" s="56" t="s">
        <v>20</v>
      </c>
      <c r="G155" s="56" t="s">
        <v>130</v>
      </c>
      <c r="H155" s="56" t="s">
        <v>419</v>
      </c>
      <c r="I155" s="56" t="s">
        <v>420</v>
      </c>
      <c r="J155" s="56"/>
    </row>
    <row r="156" ht="20" customHeight="1" spans="1:10">
      <c r="A156" s="55">
        <v>44773</v>
      </c>
      <c r="B156" s="56">
        <v>4</v>
      </c>
      <c r="C156" s="56" t="s">
        <v>216</v>
      </c>
      <c r="D156" s="56" t="s">
        <v>110</v>
      </c>
      <c r="E156" s="57">
        <v>129</v>
      </c>
      <c r="F156" s="56" t="s">
        <v>111</v>
      </c>
      <c r="G156" s="4" t="s">
        <v>15</v>
      </c>
      <c r="H156" s="56" t="s">
        <v>421</v>
      </c>
      <c r="I156" s="56" t="s">
        <v>76</v>
      </c>
      <c r="J156" s="56"/>
    </row>
    <row r="157" ht="20" customHeight="1" spans="1:10">
      <c r="A157" s="55">
        <v>44773</v>
      </c>
      <c r="B157" s="56">
        <v>5</v>
      </c>
      <c r="C157" s="56" t="s">
        <v>114</v>
      </c>
      <c r="D157" s="56" t="s">
        <v>115</v>
      </c>
      <c r="E157" s="57">
        <v>1404.64</v>
      </c>
      <c r="F157" s="56" t="s">
        <v>116</v>
      </c>
      <c r="G157" s="4" t="s">
        <v>15</v>
      </c>
      <c r="H157" s="56" t="s">
        <v>422</v>
      </c>
      <c r="I157" s="56" t="s">
        <v>423</v>
      </c>
      <c r="J157" s="56"/>
    </row>
    <row r="158" ht="20" customHeight="1" spans="1:10">
      <c r="A158" s="55">
        <v>44773</v>
      </c>
      <c r="B158" s="56">
        <v>7</v>
      </c>
      <c r="C158" s="56" t="s">
        <v>424</v>
      </c>
      <c r="D158" s="56" t="s">
        <v>253</v>
      </c>
      <c r="E158" s="57">
        <v>100</v>
      </c>
      <c r="F158" s="56" t="s">
        <v>193</v>
      </c>
      <c r="G158" s="56" t="s">
        <v>134</v>
      </c>
      <c r="H158" s="56"/>
      <c r="I158" s="56" t="s">
        <v>423</v>
      </c>
      <c r="J158" s="56"/>
    </row>
    <row r="159" ht="20" customHeight="1" spans="1:10">
      <c r="A159" s="55"/>
      <c r="B159" s="56"/>
      <c r="C159" s="56"/>
      <c r="D159" s="56" t="s">
        <v>406</v>
      </c>
      <c r="E159" s="57">
        <v>40</v>
      </c>
      <c r="F159" s="56" t="s">
        <v>407</v>
      </c>
      <c r="G159" s="56" t="s">
        <v>130</v>
      </c>
      <c r="H159" s="56" t="s">
        <v>107</v>
      </c>
      <c r="I159" s="56" t="s">
        <v>423</v>
      </c>
      <c r="J159" s="56"/>
    </row>
    <row r="160" ht="20" customHeight="1" spans="1:10">
      <c r="A160" s="55">
        <v>44773</v>
      </c>
      <c r="B160" s="56">
        <v>8</v>
      </c>
      <c r="C160" s="56" t="s">
        <v>425</v>
      </c>
      <c r="D160" s="56" t="s">
        <v>269</v>
      </c>
      <c r="E160" s="57">
        <v>25</v>
      </c>
      <c r="F160" s="56" t="s">
        <v>205</v>
      </c>
      <c r="G160" s="56"/>
      <c r="H160" s="56"/>
      <c r="I160" s="58" t="s">
        <v>420</v>
      </c>
      <c r="J160" s="56"/>
    </row>
    <row r="161" ht="20" customHeight="1" spans="1:10">
      <c r="A161" s="55"/>
      <c r="B161" s="56"/>
      <c r="C161" s="56"/>
      <c r="D161" s="56" t="s">
        <v>124</v>
      </c>
      <c r="E161" s="57">
        <v>24</v>
      </c>
      <c r="F161" s="56" t="s">
        <v>125</v>
      </c>
      <c r="G161" s="56"/>
      <c r="H161" s="56"/>
      <c r="I161" s="59"/>
      <c r="J161" s="56"/>
    </row>
    <row r="162" ht="20" customHeight="1" spans="1:10">
      <c r="A162" s="55"/>
      <c r="B162" s="56"/>
      <c r="C162" s="56"/>
      <c r="D162" s="56" t="s">
        <v>124</v>
      </c>
      <c r="E162" s="57">
        <v>12</v>
      </c>
      <c r="F162" s="56" t="s">
        <v>205</v>
      </c>
      <c r="G162" s="56"/>
      <c r="H162" s="56"/>
      <c r="I162" s="56" t="s">
        <v>426</v>
      </c>
      <c r="J162" s="56"/>
    </row>
    <row r="163" ht="20" customHeight="1" spans="1:10">
      <c r="A163" s="55">
        <v>44773</v>
      </c>
      <c r="B163" s="56">
        <v>9</v>
      </c>
      <c r="C163" s="56" t="s">
        <v>427</v>
      </c>
      <c r="D163" s="56" t="s">
        <v>163</v>
      </c>
      <c r="E163" s="57">
        <v>200</v>
      </c>
      <c r="F163" s="56" t="s">
        <v>345</v>
      </c>
      <c r="G163" s="56" t="s">
        <v>134</v>
      </c>
      <c r="H163" s="56"/>
      <c r="I163" s="56" t="s">
        <v>428</v>
      </c>
      <c r="J163" s="56"/>
    </row>
    <row r="164" ht="20" customHeight="1" spans="1:10">
      <c r="A164" s="55">
        <v>44804</v>
      </c>
      <c r="B164" s="56">
        <v>1</v>
      </c>
      <c r="C164" s="56" t="s">
        <v>216</v>
      </c>
      <c r="D164" s="56" t="s">
        <v>110</v>
      </c>
      <c r="E164" s="57">
        <v>129</v>
      </c>
      <c r="F164" s="56" t="s">
        <v>111</v>
      </c>
      <c r="G164" s="4" t="s">
        <v>15</v>
      </c>
      <c r="H164" s="56" t="s">
        <v>429</v>
      </c>
      <c r="I164" s="56" t="s">
        <v>430</v>
      </c>
      <c r="J164" s="56"/>
    </row>
    <row r="165" ht="20" customHeight="1" spans="1:10">
      <c r="A165" s="55">
        <v>44804</v>
      </c>
      <c r="B165" s="56">
        <v>2</v>
      </c>
      <c r="C165" s="56" t="s">
        <v>114</v>
      </c>
      <c r="D165" s="56" t="s">
        <v>115</v>
      </c>
      <c r="E165" s="57">
        <v>2069.76</v>
      </c>
      <c r="F165" s="56" t="s">
        <v>116</v>
      </c>
      <c r="G165" s="4" t="s">
        <v>15</v>
      </c>
      <c r="H165" s="56" t="s">
        <v>431</v>
      </c>
      <c r="I165" s="56" t="s">
        <v>432</v>
      </c>
      <c r="J165" s="56"/>
    </row>
    <row r="166" ht="20" customHeight="1" spans="1:10">
      <c r="A166" s="55">
        <v>44804</v>
      </c>
      <c r="B166" s="56">
        <v>4</v>
      </c>
      <c r="C166" s="56" t="s">
        <v>433</v>
      </c>
      <c r="D166" s="56" t="s">
        <v>143</v>
      </c>
      <c r="E166" s="57">
        <v>40</v>
      </c>
      <c r="F166" s="56"/>
      <c r="G166" s="56"/>
      <c r="H166" s="56"/>
      <c r="I166" s="56" t="s">
        <v>434</v>
      </c>
      <c r="J166" s="56"/>
    </row>
    <row r="167" ht="20" customHeight="1" spans="1:10">
      <c r="A167" s="55"/>
      <c r="B167" s="56"/>
      <c r="C167" s="56"/>
      <c r="D167" s="56" t="s">
        <v>163</v>
      </c>
      <c r="E167" s="57">
        <v>200</v>
      </c>
      <c r="F167" s="56" t="s">
        <v>345</v>
      </c>
      <c r="G167" s="56" t="s">
        <v>134</v>
      </c>
      <c r="H167" s="56"/>
      <c r="I167" s="56" t="s">
        <v>435</v>
      </c>
      <c r="J167" s="56"/>
    </row>
    <row r="168" ht="20" customHeight="1" spans="1:10">
      <c r="A168" s="55">
        <v>44834</v>
      </c>
      <c r="B168" s="56">
        <v>2</v>
      </c>
      <c r="C168" s="56" t="s">
        <v>436</v>
      </c>
      <c r="D168" s="56" t="s">
        <v>137</v>
      </c>
      <c r="E168" s="57">
        <v>-1650</v>
      </c>
      <c r="F168" s="56" t="s">
        <v>20</v>
      </c>
      <c r="G168" s="56" t="s">
        <v>130</v>
      </c>
      <c r="H168" s="56" t="s">
        <v>437</v>
      </c>
      <c r="I168" s="56" t="s">
        <v>79</v>
      </c>
      <c r="J168" s="56"/>
    </row>
    <row r="169" ht="20" customHeight="1" spans="1:10">
      <c r="A169" s="55"/>
      <c r="B169" s="56"/>
      <c r="C169" s="56"/>
      <c r="D169" s="56" t="s">
        <v>115</v>
      </c>
      <c r="E169" s="57">
        <v>-1960</v>
      </c>
      <c r="F169" s="56" t="s">
        <v>20</v>
      </c>
      <c r="G169" s="56" t="s">
        <v>130</v>
      </c>
      <c r="H169" s="56" t="s">
        <v>438</v>
      </c>
      <c r="I169" s="56" t="s">
        <v>79</v>
      </c>
      <c r="J169" s="56"/>
    </row>
    <row r="170" ht="20" customHeight="1" spans="1:10">
      <c r="A170" s="55"/>
      <c r="B170" s="56"/>
      <c r="C170" s="56"/>
      <c r="D170" s="56" t="s">
        <v>115</v>
      </c>
      <c r="E170" s="57">
        <v>-1571</v>
      </c>
      <c r="F170" s="56" t="s">
        <v>20</v>
      </c>
      <c r="G170" s="56" t="s">
        <v>130</v>
      </c>
      <c r="H170" s="56" t="s">
        <v>439</v>
      </c>
      <c r="I170" s="56" t="s">
        <v>440</v>
      </c>
      <c r="J170" s="56"/>
    </row>
    <row r="171" ht="20" customHeight="1" spans="1:10">
      <c r="A171" s="55">
        <v>44834</v>
      </c>
      <c r="B171" s="56">
        <v>3</v>
      </c>
      <c r="C171" s="56" t="s">
        <v>216</v>
      </c>
      <c r="D171" s="56" t="s">
        <v>110</v>
      </c>
      <c r="E171" s="57">
        <v>129</v>
      </c>
      <c r="F171" s="56" t="s">
        <v>111</v>
      </c>
      <c r="G171" s="4" t="s">
        <v>15</v>
      </c>
      <c r="H171" s="56" t="s">
        <v>441</v>
      </c>
      <c r="I171" s="56" t="s">
        <v>442</v>
      </c>
      <c r="J171" s="56"/>
    </row>
    <row r="172" ht="20" customHeight="1" spans="1:10">
      <c r="A172" s="55">
        <v>44834</v>
      </c>
      <c r="B172" s="56">
        <v>4</v>
      </c>
      <c r="C172" s="56" t="s">
        <v>114</v>
      </c>
      <c r="D172" s="56" t="s">
        <v>115</v>
      </c>
      <c r="E172" s="57">
        <v>1544.27</v>
      </c>
      <c r="F172" s="56" t="s">
        <v>116</v>
      </c>
      <c r="G172" s="4" t="s">
        <v>15</v>
      </c>
      <c r="H172" s="56" t="s">
        <v>443</v>
      </c>
      <c r="I172" s="56" t="s">
        <v>442</v>
      </c>
      <c r="J172" s="56"/>
    </row>
    <row r="173" ht="20" customHeight="1" spans="1:10">
      <c r="A173" s="55">
        <v>44834</v>
      </c>
      <c r="B173" s="56">
        <v>5</v>
      </c>
      <c r="C173" s="56" t="s">
        <v>444</v>
      </c>
      <c r="D173" s="56" t="s">
        <v>124</v>
      </c>
      <c r="E173" s="57">
        <v>12</v>
      </c>
      <c r="F173" s="56" t="s">
        <v>125</v>
      </c>
      <c r="G173" s="56"/>
      <c r="H173" s="56"/>
      <c r="I173" s="56" t="s">
        <v>445</v>
      </c>
      <c r="J173" s="56"/>
    </row>
    <row r="174" ht="20" customHeight="1" spans="1:10">
      <c r="A174" s="55"/>
      <c r="B174" s="56"/>
      <c r="C174" s="56"/>
      <c r="D174" s="56" t="s">
        <v>312</v>
      </c>
      <c r="E174" s="57">
        <v>20</v>
      </c>
      <c r="F174" s="56" t="s">
        <v>313</v>
      </c>
      <c r="G174" s="56" t="s">
        <v>310</v>
      </c>
      <c r="H174" s="56" t="s">
        <v>446</v>
      </c>
      <c r="I174" s="56" t="s">
        <v>447</v>
      </c>
      <c r="J174" s="56"/>
    </row>
    <row r="175" ht="20" customHeight="1" spans="1:10">
      <c r="A175" s="55"/>
      <c r="B175" s="56"/>
      <c r="C175" s="56"/>
      <c r="D175" s="56" t="s">
        <v>163</v>
      </c>
      <c r="E175" s="57">
        <v>200</v>
      </c>
      <c r="F175" s="56" t="s">
        <v>345</v>
      </c>
      <c r="G175" s="56" t="s">
        <v>134</v>
      </c>
      <c r="H175" s="56"/>
      <c r="I175" s="56" t="s">
        <v>445</v>
      </c>
      <c r="J175" s="56"/>
    </row>
    <row r="176" ht="20" customHeight="1" spans="1:10">
      <c r="A176" s="55">
        <v>44865</v>
      </c>
      <c r="B176" s="56">
        <v>1</v>
      </c>
      <c r="C176" s="56" t="s">
        <v>135</v>
      </c>
      <c r="D176" s="56" t="s">
        <v>115</v>
      </c>
      <c r="E176" s="57">
        <v>-1038</v>
      </c>
      <c r="F176" s="56" t="s">
        <v>20</v>
      </c>
      <c r="G176" s="56" t="s">
        <v>130</v>
      </c>
      <c r="H176" s="56" t="s">
        <v>448</v>
      </c>
      <c r="I176" s="56" t="s">
        <v>449</v>
      </c>
      <c r="J176" s="56"/>
    </row>
    <row r="177" ht="20" customHeight="1" spans="1:10">
      <c r="A177" s="55">
        <v>44865</v>
      </c>
      <c r="B177" s="56">
        <v>2</v>
      </c>
      <c r="C177" s="56" t="s">
        <v>216</v>
      </c>
      <c r="D177" s="56" t="s">
        <v>110</v>
      </c>
      <c r="E177" s="57">
        <v>129</v>
      </c>
      <c r="F177" s="56" t="s">
        <v>111</v>
      </c>
      <c r="G177" s="4" t="s">
        <v>15</v>
      </c>
      <c r="H177" s="56" t="s">
        <v>450</v>
      </c>
      <c r="I177" s="56" t="s">
        <v>451</v>
      </c>
      <c r="J177" s="56"/>
    </row>
    <row r="178" ht="20" customHeight="1" spans="1:10">
      <c r="A178" s="55">
        <v>44865</v>
      </c>
      <c r="B178" s="56">
        <v>3</v>
      </c>
      <c r="C178" s="56" t="s">
        <v>114</v>
      </c>
      <c r="D178" s="56" t="s">
        <v>115</v>
      </c>
      <c r="E178" s="57">
        <v>1117.26</v>
      </c>
      <c r="F178" s="56" t="s">
        <v>116</v>
      </c>
      <c r="G178" s="4" t="s">
        <v>15</v>
      </c>
      <c r="H178" s="56" t="s">
        <v>452</v>
      </c>
      <c r="I178" s="56" t="s">
        <v>451</v>
      </c>
      <c r="J178" s="56"/>
    </row>
    <row r="179" ht="20" customHeight="1" spans="1:10">
      <c r="A179" s="55">
        <v>44865</v>
      </c>
      <c r="B179" s="56">
        <v>5</v>
      </c>
      <c r="C179" s="56" t="s">
        <v>453</v>
      </c>
      <c r="D179" s="56" t="s">
        <v>269</v>
      </c>
      <c r="E179" s="57">
        <v>1</v>
      </c>
      <c r="F179" s="56" t="s">
        <v>205</v>
      </c>
      <c r="G179" s="56"/>
      <c r="H179" s="56" t="s">
        <v>454</v>
      </c>
      <c r="I179" s="58" t="s">
        <v>455</v>
      </c>
      <c r="J179" s="56"/>
    </row>
    <row r="180" ht="20" customHeight="1" spans="1:10">
      <c r="A180" s="55"/>
      <c r="B180" s="56"/>
      <c r="C180" s="56"/>
      <c r="D180" s="56" t="s">
        <v>269</v>
      </c>
      <c r="E180" s="57">
        <v>11</v>
      </c>
      <c r="F180" s="56" t="s">
        <v>205</v>
      </c>
      <c r="G180" s="56"/>
      <c r="H180" s="56" t="s">
        <v>456</v>
      </c>
      <c r="I180" s="61"/>
      <c r="J180" s="56"/>
    </row>
    <row r="181" ht="20" customHeight="1" spans="1:10">
      <c r="A181" s="55"/>
      <c r="B181" s="56"/>
      <c r="C181" s="56"/>
      <c r="D181" s="56" t="s">
        <v>124</v>
      </c>
      <c r="E181" s="57">
        <v>4</v>
      </c>
      <c r="F181" s="56" t="s">
        <v>125</v>
      </c>
      <c r="G181" s="56"/>
      <c r="H181" s="56"/>
      <c r="I181" s="59"/>
      <c r="J181" s="56"/>
    </row>
    <row r="182" ht="20" customHeight="1" spans="1:10">
      <c r="A182" s="55"/>
      <c r="B182" s="56"/>
      <c r="C182" s="56"/>
      <c r="D182" s="56" t="s">
        <v>457</v>
      </c>
      <c r="E182" s="57">
        <v>6.6</v>
      </c>
      <c r="F182" s="56" t="s">
        <v>458</v>
      </c>
      <c r="G182" s="56" t="s">
        <v>459</v>
      </c>
      <c r="H182" s="56"/>
      <c r="I182" s="56" t="s">
        <v>460</v>
      </c>
      <c r="J182" s="56"/>
    </row>
    <row r="183" ht="20" customHeight="1" spans="1:10">
      <c r="A183" s="55"/>
      <c r="B183" s="56"/>
      <c r="C183" s="56"/>
      <c r="D183" s="56" t="s">
        <v>163</v>
      </c>
      <c r="E183" s="57">
        <v>200</v>
      </c>
      <c r="F183" s="56" t="s">
        <v>345</v>
      </c>
      <c r="G183" s="56" t="s">
        <v>134</v>
      </c>
      <c r="H183" s="56"/>
      <c r="I183" s="56" t="s">
        <v>461</v>
      </c>
      <c r="J183" s="56"/>
    </row>
    <row r="184" ht="20" customHeight="1" spans="1:10">
      <c r="A184" s="55">
        <v>44895</v>
      </c>
      <c r="B184" s="56">
        <v>1</v>
      </c>
      <c r="C184" s="56" t="s">
        <v>216</v>
      </c>
      <c r="D184" s="56" t="s">
        <v>110</v>
      </c>
      <c r="E184" s="57">
        <v>129</v>
      </c>
      <c r="F184" s="56" t="s">
        <v>111</v>
      </c>
      <c r="G184" s="4" t="s">
        <v>15</v>
      </c>
      <c r="H184" s="56" t="s">
        <v>462</v>
      </c>
      <c r="I184" s="56" t="s">
        <v>463</v>
      </c>
      <c r="J184" s="56"/>
    </row>
    <row r="185" ht="20" customHeight="1" spans="1:10">
      <c r="A185" s="55">
        <v>44895</v>
      </c>
      <c r="B185" s="56">
        <v>2</v>
      </c>
      <c r="C185" s="56" t="s">
        <v>114</v>
      </c>
      <c r="D185" s="56" t="s">
        <v>115</v>
      </c>
      <c r="E185" s="57">
        <v>391.87</v>
      </c>
      <c r="F185" s="56" t="s">
        <v>116</v>
      </c>
      <c r="G185" s="4" t="s">
        <v>15</v>
      </c>
      <c r="H185" s="56" t="s">
        <v>464</v>
      </c>
      <c r="I185" s="56" t="s">
        <v>463</v>
      </c>
      <c r="J185" s="56"/>
    </row>
    <row r="186" ht="20" customHeight="1" spans="1:10">
      <c r="A186" s="55">
        <v>44895</v>
      </c>
      <c r="B186" s="56">
        <v>3</v>
      </c>
      <c r="C186" s="56" t="s">
        <v>465</v>
      </c>
      <c r="D186" s="56" t="s">
        <v>312</v>
      </c>
      <c r="E186" s="57">
        <v>21</v>
      </c>
      <c r="F186" s="56" t="s">
        <v>458</v>
      </c>
      <c r="G186" s="56" t="s">
        <v>466</v>
      </c>
      <c r="H186" s="56"/>
      <c r="I186" s="56" t="s">
        <v>467</v>
      </c>
      <c r="J186" s="56"/>
    </row>
    <row r="187" ht="20" customHeight="1" spans="1:10">
      <c r="A187" s="55"/>
      <c r="B187" s="56"/>
      <c r="C187" s="56"/>
      <c r="D187" s="56" t="s">
        <v>269</v>
      </c>
      <c r="E187" s="57">
        <v>14</v>
      </c>
      <c r="F187" s="56" t="s">
        <v>205</v>
      </c>
      <c r="G187" s="56"/>
      <c r="H187" s="56"/>
      <c r="I187" s="58" t="s">
        <v>468</v>
      </c>
      <c r="J187" s="56"/>
    </row>
    <row r="188" ht="20" customHeight="1" spans="1:10">
      <c r="A188" s="55"/>
      <c r="B188" s="56"/>
      <c r="C188" s="56"/>
      <c r="D188" s="56" t="s">
        <v>124</v>
      </c>
      <c r="E188" s="57">
        <v>26</v>
      </c>
      <c r="F188" s="56" t="s">
        <v>125</v>
      </c>
      <c r="G188" s="56"/>
      <c r="H188" s="56"/>
      <c r="I188" s="59"/>
      <c r="J188" s="56"/>
    </row>
    <row r="189" ht="20" customHeight="1" spans="1:10">
      <c r="A189" s="55"/>
      <c r="B189" s="56"/>
      <c r="C189" s="56"/>
      <c r="D189" s="56" t="s">
        <v>163</v>
      </c>
      <c r="E189" s="57">
        <v>200</v>
      </c>
      <c r="F189" s="56" t="s">
        <v>345</v>
      </c>
      <c r="G189" s="56" t="s">
        <v>134</v>
      </c>
      <c r="H189" s="56"/>
      <c r="I189" s="56" t="s">
        <v>469</v>
      </c>
      <c r="J189" s="56"/>
    </row>
    <row r="190" ht="20" customHeight="1" spans="1:10">
      <c r="A190" s="55"/>
      <c r="B190" s="56"/>
      <c r="C190" s="56"/>
      <c r="D190" s="56" t="s">
        <v>470</v>
      </c>
      <c r="E190" s="57">
        <v>85</v>
      </c>
      <c r="F190" s="56" t="s">
        <v>471</v>
      </c>
      <c r="G190" s="4" t="s">
        <v>15</v>
      </c>
      <c r="H190" s="56" t="s">
        <v>472</v>
      </c>
      <c r="I190" s="56" t="s">
        <v>468</v>
      </c>
      <c r="J190" s="56"/>
    </row>
    <row r="191" ht="20" customHeight="1" spans="1:10">
      <c r="A191" s="55">
        <v>44925</v>
      </c>
      <c r="B191" s="56">
        <v>1</v>
      </c>
      <c r="C191" s="56" t="s">
        <v>216</v>
      </c>
      <c r="D191" s="56" t="s">
        <v>110</v>
      </c>
      <c r="E191" s="57">
        <v>129</v>
      </c>
      <c r="F191" s="56" t="s">
        <v>111</v>
      </c>
      <c r="G191" s="4" t="s">
        <v>15</v>
      </c>
      <c r="H191" s="56" t="s">
        <v>473</v>
      </c>
      <c r="I191" s="56" t="s">
        <v>474</v>
      </c>
      <c r="J191" s="56"/>
    </row>
    <row r="192" ht="20" customHeight="1" spans="1:10">
      <c r="A192" s="55">
        <v>44925</v>
      </c>
      <c r="B192" s="56">
        <v>2</v>
      </c>
      <c r="C192" s="56" t="s">
        <v>114</v>
      </c>
      <c r="D192" s="56" t="s">
        <v>115</v>
      </c>
      <c r="E192" s="57">
        <v>226.96</v>
      </c>
      <c r="F192" s="56" t="s">
        <v>116</v>
      </c>
      <c r="G192" s="4" t="s">
        <v>15</v>
      </c>
      <c r="H192" s="56" t="s">
        <v>475</v>
      </c>
      <c r="I192" s="56" t="s">
        <v>476</v>
      </c>
      <c r="J192" s="56"/>
    </row>
    <row r="193" ht="20" customHeight="1" spans="1:10">
      <c r="A193" s="55">
        <v>44925</v>
      </c>
      <c r="B193" s="56">
        <v>3</v>
      </c>
      <c r="C193" s="56" t="s">
        <v>477</v>
      </c>
      <c r="D193" s="56" t="s">
        <v>163</v>
      </c>
      <c r="E193" s="57">
        <v>200</v>
      </c>
      <c r="F193" s="56" t="s">
        <v>345</v>
      </c>
      <c r="G193" s="56" t="s">
        <v>134</v>
      </c>
      <c r="H193" s="56"/>
      <c r="I193" s="56" t="s">
        <v>478</v>
      </c>
      <c r="J193" s="56"/>
    </row>
    <row r="194" ht="20" customHeight="1" spans="1:10">
      <c r="A194" s="55">
        <v>44957</v>
      </c>
      <c r="B194" s="56">
        <v>1</v>
      </c>
      <c r="C194" s="56" t="s">
        <v>216</v>
      </c>
      <c r="D194" s="56" t="s">
        <v>110</v>
      </c>
      <c r="E194" s="57">
        <v>129</v>
      </c>
      <c r="F194" s="56" t="s">
        <v>111</v>
      </c>
      <c r="G194" s="4" t="s">
        <v>15</v>
      </c>
      <c r="H194" s="56" t="s">
        <v>479</v>
      </c>
      <c r="I194" s="56" t="s">
        <v>480</v>
      </c>
      <c r="J194" s="56"/>
    </row>
    <row r="195" ht="20" customHeight="1" spans="1:10">
      <c r="A195" s="55">
        <v>44957</v>
      </c>
      <c r="B195" s="56">
        <v>2</v>
      </c>
      <c r="C195" s="56" t="s">
        <v>114</v>
      </c>
      <c r="D195" s="56" t="s">
        <v>115</v>
      </c>
      <c r="E195" s="57">
        <v>722.56</v>
      </c>
      <c r="F195" s="56" t="s">
        <v>116</v>
      </c>
      <c r="G195" s="4" t="s">
        <v>15</v>
      </c>
      <c r="H195" s="56" t="s">
        <v>481</v>
      </c>
      <c r="I195" s="56" t="s">
        <v>480</v>
      </c>
      <c r="J195" s="56"/>
    </row>
    <row r="196" ht="20" customHeight="1" spans="1:10">
      <c r="A196" s="55">
        <v>44957</v>
      </c>
      <c r="B196" s="56">
        <v>3</v>
      </c>
      <c r="C196" s="56" t="s">
        <v>427</v>
      </c>
      <c r="D196" s="56" t="s">
        <v>163</v>
      </c>
      <c r="E196" s="57">
        <v>200</v>
      </c>
      <c r="F196" s="56" t="s">
        <v>345</v>
      </c>
      <c r="G196" s="56" t="s">
        <v>134</v>
      </c>
      <c r="H196" s="56"/>
      <c r="I196" s="56" t="s">
        <v>482</v>
      </c>
      <c r="J196" s="56"/>
    </row>
    <row r="197" ht="20" customHeight="1" spans="1:10">
      <c r="A197" s="55">
        <v>44985</v>
      </c>
      <c r="B197" s="56">
        <v>1</v>
      </c>
      <c r="C197" s="56" t="s">
        <v>216</v>
      </c>
      <c r="D197" s="56" t="s">
        <v>110</v>
      </c>
      <c r="E197" s="57">
        <v>129</v>
      </c>
      <c r="F197" s="56" t="s">
        <v>111</v>
      </c>
      <c r="G197" s="4" t="s">
        <v>15</v>
      </c>
      <c r="H197" s="56" t="s">
        <v>483</v>
      </c>
      <c r="I197" s="56" t="s">
        <v>484</v>
      </c>
      <c r="J197" s="56"/>
    </row>
    <row r="198" ht="20" customHeight="1" spans="1:10">
      <c r="A198" s="55">
        <v>44985</v>
      </c>
      <c r="B198" s="56">
        <v>2</v>
      </c>
      <c r="C198" s="56" t="s">
        <v>114</v>
      </c>
      <c r="D198" s="56" t="s">
        <v>115</v>
      </c>
      <c r="E198" s="57">
        <v>261.18</v>
      </c>
      <c r="F198" s="56" t="s">
        <v>116</v>
      </c>
      <c r="G198" s="4" t="s">
        <v>15</v>
      </c>
      <c r="H198" s="56" t="s">
        <v>485</v>
      </c>
      <c r="I198" s="56" t="s">
        <v>484</v>
      </c>
      <c r="J198" s="56"/>
    </row>
    <row r="199" ht="20" customHeight="1" spans="1:10">
      <c r="A199" s="55">
        <v>44985</v>
      </c>
      <c r="B199" s="56">
        <v>3</v>
      </c>
      <c r="C199" s="56" t="s">
        <v>486</v>
      </c>
      <c r="D199" s="56" t="s">
        <v>163</v>
      </c>
      <c r="E199" s="57">
        <v>200</v>
      </c>
      <c r="F199" s="56" t="s">
        <v>345</v>
      </c>
      <c r="G199" s="56" t="s">
        <v>134</v>
      </c>
      <c r="H199" s="56"/>
      <c r="I199" s="56" t="s">
        <v>487</v>
      </c>
      <c r="J199" s="56"/>
    </row>
    <row r="200" ht="20" customHeight="1" spans="1:10">
      <c r="A200" s="55">
        <v>44996</v>
      </c>
      <c r="B200" s="56">
        <v>1</v>
      </c>
      <c r="C200" s="56" t="s">
        <v>216</v>
      </c>
      <c r="D200" s="56" t="s">
        <v>110</v>
      </c>
      <c r="E200" s="57">
        <v>129</v>
      </c>
      <c r="F200" s="56" t="s">
        <v>111</v>
      </c>
      <c r="G200" s="4" t="s">
        <v>15</v>
      </c>
      <c r="H200" s="56" t="s">
        <v>488</v>
      </c>
      <c r="I200" s="56" t="s">
        <v>489</v>
      </c>
      <c r="J200" s="56"/>
    </row>
    <row r="201" ht="20" customHeight="1" spans="1:10">
      <c r="A201" s="55">
        <v>45016</v>
      </c>
      <c r="B201" s="56">
        <v>2</v>
      </c>
      <c r="C201" s="56" t="s">
        <v>114</v>
      </c>
      <c r="D201" s="56" t="s">
        <v>115</v>
      </c>
      <c r="E201" s="57">
        <v>864.75</v>
      </c>
      <c r="F201" s="56" t="s">
        <v>116</v>
      </c>
      <c r="G201" s="4" t="s">
        <v>15</v>
      </c>
      <c r="H201" s="56" t="s">
        <v>490</v>
      </c>
      <c r="I201" s="56" t="s">
        <v>489</v>
      </c>
      <c r="J201" s="56"/>
    </row>
    <row r="202" ht="20" customHeight="1" spans="1:10">
      <c r="A202" s="55">
        <v>45016</v>
      </c>
      <c r="B202" s="56">
        <v>3</v>
      </c>
      <c r="C202" s="56" t="s">
        <v>491</v>
      </c>
      <c r="D202" s="56" t="s">
        <v>329</v>
      </c>
      <c r="E202" s="57">
        <v>400</v>
      </c>
      <c r="F202" s="56" t="s">
        <v>492</v>
      </c>
      <c r="G202" s="4" t="s">
        <v>15</v>
      </c>
      <c r="H202" s="56" t="s">
        <v>493</v>
      </c>
      <c r="I202" s="56" t="s">
        <v>494</v>
      </c>
      <c r="J202" s="56"/>
    </row>
    <row r="203" ht="20" customHeight="1" spans="1:10">
      <c r="A203" s="55">
        <v>45016</v>
      </c>
      <c r="B203" s="56">
        <v>4</v>
      </c>
      <c r="C203" s="56" t="s">
        <v>495</v>
      </c>
      <c r="D203" s="56" t="s">
        <v>496</v>
      </c>
      <c r="E203" s="57">
        <v>380</v>
      </c>
      <c r="F203" s="56" t="s">
        <v>497</v>
      </c>
      <c r="G203" s="4" t="s">
        <v>15</v>
      </c>
      <c r="H203" s="56" t="s">
        <v>498</v>
      </c>
      <c r="I203" s="56" t="s">
        <v>499</v>
      </c>
      <c r="J203" s="56"/>
    </row>
    <row r="204" ht="20" customHeight="1" spans="1:10">
      <c r="A204" s="55">
        <v>45016</v>
      </c>
      <c r="B204" s="56">
        <v>6</v>
      </c>
      <c r="C204" s="56" t="s">
        <v>500</v>
      </c>
      <c r="D204" s="56" t="s">
        <v>501</v>
      </c>
      <c r="E204" s="57">
        <v>5</v>
      </c>
      <c r="F204" s="56"/>
      <c r="G204" s="56" t="s">
        <v>130</v>
      </c>
      <c r="H204" s="56" t="s">
        <v>107</v>
      </c>
      <c r="I204" s="56" t="s">
        <v>502</v>
      </c>
      <c r="J204" s="56"/>
    </row>
    <row r="205" ht="20" customHeight="1" spans="1:10">
      <c r="A205"/>
      <c r="B205" s="56"/>
      <c r="C205" s="56"/>
      <c r="D205" s="56" t="s">
        <v>236</v>
      </c>
      <c r="E205" s="57">
        <v>100</v>
      </c>
      <c r="F205" s="56" t="s">
        <v>503</v>
      </c>
      <c r="G205" s="56" t="s">
        <v>134</v>
      </c>
      <c r="H205" s="56"/>
      <c r="I205" s="56" t="s">
        <v>504</v>
      </c>
      <c r="J205" s="56"/>
    </row>
    <row r="206" ht="20" customHeight="1" spans="1:10">
      <c r="A206" s="55"/>
      <c r="B206" s="56"/>
      <c r="C206" s="56"/>
      <c r="D206" s="56" t="s">
        <v>236</v>
      </c>
      <c r="E206" s="57">
        <v>200</v>
      </c>
      <c r="F206" s="56" t="s">
        <v>503</v>
      </c>
      <c r="G206" s="56" t="s">
        <v>134</v>
      </c>
      <c r="H206" s="56"/>
      <c r="I206" s="56" t="s">
        <v>505</v>
      </c>
      <c r="J206" s="56"/>
    </row>
    <row r="207" ht="20" customHeight="1" spans="1:10">
      <c r="A207" s="55"/>
      <c r="B207" s="56"/>
      <c r="C207" s="56"/>
      <c r="D207" s="56" t="s">
        <v>506</v>
      </c>
      <c r="E207" s="57">
        <v>100</v>
      </c>
      <c r="F207" s="56" t="s">
        <v>507</v>
      </c>
      <c r="G207" s="56" t="s">
        <v>134</v>
      </c>
      <c r="H207" s="56"/>
      <c r="I207" s="56" t="s">
        <v>499</v>
      </c>
      <c r="J207" s="56"/>
    </row>
    <row r="208" ht="20" customHeight="1" spans="1:10">
      <c r="A208" s="55">
        <v>45016</v>
      </c>
      <c r="B208" s="56">
        <v>7</v>
      </c>
      <c r="C208" s="56" t="s">
        <v>508</v>
      </c>
      <c r="D208" s="56" t="s">
        <v>269</v>
      </c>
      <c r="E208" s="57">
        <v>25</v>
      </c>
      <c r="F208" s="56" t="s">
        <v>205</v>
      </c>
      <c r="G208" s="56"/>
      <c r="H208" s="56"/>
      <c r="I208" s="56" t="s">
        <v>489</v>
      </c>
      <c r="J208" s="56"/>
    </row>
    <row r="209" ht="20" customHeight="1" spans="1:10">
      <c r="A209" s="55"/>
      <c r="B209" s="56"/>
      <c r="C209" s="56"/>
      <c r="D209" s="56" t="s">
        <v>269</v>
      </c>
      <c r="E209" s="57">
        <v>23</v>
      </c>
      <c r="F209" s="56" t="s">
        <v>205</v>
      </c>
      <c r="G209" s="56"/>
      <c r="H209" s="56"/>
      <c r="I209" s="56" t="s">
        <v>494</v>
      </c>
      <c r="J209" s="56"/>
    </row>
    <row r="210" ht="20" customHeight="1" spans="1:10">
      <c r="A210" s="55"/>
      <c r="B210" s="56"/>
      <c r="C210" s="56"/>
      <c r="D210" s="56" t="s">
        <v>124</v>
      </c>
      <c r="E210" s="57">
        <v>8</v>
      </c>
      <c r="F210" s="56" t="s">
        <v>125</v>
      </c>
      <c r="G210" s="56"/>
      <c r="H210" s="56"/>
      <c r="I210" s="56" t="s">
        <v>509</v>
      </c>
      <c r="J210" s="56"/>
    </row>
    <row r="211" ht="20" customHeight="1" spans="1:10">
      <c r="A211" s="55">
        <v>45046</v>
      </c>
      <c r="B211" s="56">
        <v>1</v>
      </c>
      <c r="C211" s="56" t="s">
        <v>216</v>
      </c>
      <c r="D211" s="56" t="s">
        <v>110</v>
      </c>
      <c r="E211" s="57">
        <v>129</v>
      </c>
      <c r="F211" s="56" t="s">
        <v>111</v>
      </c>
      <c r="G211" s="4" t="s">
        <v>15</v>
      </c>
      <c r="H211" s="56" t="s">
        <v>510</v>
      </c>
      <c r="I211" s="56" t="s">
        <v>511</v>
      </c>
      <c r="J211" s="56"/>
    </row>
    <row r="212" ht="20" customHeight="1" spans="1:10">
      <c r="A212" s="55">
        <v>45046</v>
      </c>
      <c r="B212" s="56">
        <v>2</v>
      </c>
      <c r="C212" s="56" t="s">
        <v>114</v>
      </c>
      <c r="D212" s="56" t="s">
        <v>115</v>
      </c>
      <c r="E212" s="57">
        <v>632.59</v>
      </c>
      <c r="F212" s="56" t="s">
        <v>116</v>
      </c>
      <c r="G212" s="4" t="s">
        <v>15</v>
      </c>
      <c r="H212" s="56" t="s">
        <v>512</v>
      </c>
      <c r="I212" s="56" t="s">
        <v>511</v>
      </c>
      <c r="J212" s="56"/>
    </row>
    <row r="213" ht="20" customHeight="1" spans="1:10">
      <c r="A213" s="55">
        <v>45046</v>
      </c>
      <c r="B213" s="56">
        <v>3</v>
      </c>
      <c r="C213" s="56" t="s">
        <v>342</v>
      </c>
      <c r="D213" s="56" t="s">
        <v>269</v>
      </c>
      <c r="E213" s="57">
        <v>35</v>
      </c>
      <c r="F213" s="56" t="s">
        <v>205</v>
      </c>
      <c r="G213" s="56"/>
      <c r="H213" s="56"/>
      <c r="I213" s="58" t="s">
        <v>513</v>
      </c>
      <c r="J213" s="58"/>
    </row>
    <row r="214" ht="20" customHeight="1" spans="1:10">
      <c r="A214" s="55"/>
      <c r="B214" s="56"/>
      <c r="C214" s="56"/>
      <c r="D214" s="52" t="s">
        <v>124</v>
      </c>
      <c r="E214" s="57">
        <v>2</v>
      </c>
      <c r="F214" s="56" t="s">
        <v>125</v>
      </c>
      <c r="G214" s="56"/>
      <c r="H214" s="56"/>
      <c r="I214" s="59"/>
      <c r="J214" s="59"/>
    </row>
    <row r="215" ht="20" customHeight="1" spans="1:10">
      <c r="A215" s="55">
        <v>45046</v>
      </c>
      <c r="B215" s="56">
        <v>4</v>
      </c>
      <c r="C215" s="56" t="s">
        <v>514</v>
      </c>
      <c r="D215" s="56" t="s">
        <v>329</v>
      </c>
      <c r="E215" s="57">
        <v>2908</v>
      </c>
      <c r="F215" s="56" t="s">
        <v>515</v>
      </c>
      <c r="G215" s="4" t="s">
        <v>15</v>
      </c>
      <c r="H215" s="56" t="s">
        <v>516</v>
      </c>
      <c r="I215" s="56" t="s">
        <v>517</v>
      </c>
      <c r="J215" s="56"/>
    </row>
    <row r="216" ht="20" customHeight="1" spans="1:10">
      <c r="A216" s="55">
        <v>45077</v>
      </c>
      <c r="B216" s="56">
        <v>1</v>
      </c>
      <c r="C216" s="56" t="s">
        <v>216</v>
      </c>
      <c r="D216" s="56" t="s">
        <v>110</v>
      </c>
      <c r="E216" s="57">
        <v>216.1</v>
      </c>
      <c r="F216" s="56" t="s">
        <v>111</v>
      </c>
      <c r="G216" s="4" t="s">
        <v>15</v>
      </c>
      <c r="H216" s="56" t="s">
        <v>518</v>
      </c>
      <c r="I216" s="56" t="s">
        <v>519</v>
      </c>
      <c r="J216" s="56"/>
    </row>
    <row r="217" ht="20" customHeight="1" spans="1:10">
      <c r="A217" s="55">
        <v>45077</v>
      </c>
      <c r="B217" s="56">
        <v>2</v>
      </c>
      <c r="C217" s="56" t="s">
        <v>114</v>
      </c>
      <c r="D217" s="56" t="s">
        <v>115</v>
      </c>
      <c r="E217" s="57">
        <v>508.38</v>
      </c>
      <c r="F217" s="56" t="s">
        <v>116</v>
      </c>
      <c r="G217" s="4" t="s">
        <v>15</v>
      </c>
      <c r="H217" s="56" t="s">
        <v>520</v>
      </c>
      <c r="I217" s="56" t="s">
        <v>519</v>
      </c>
      <c r="J217" s="56"/>
    </row>
    <row r="218" ht="20" customHeight="1" spans="1:10">
      <c r="A218" s="55">
        <v>45077</v>
      </c>
      <c r="B218" s="56">
        <v>3</v>
      </c>
      <c r="C218" s="56" t="s">
        <v>521</v>
      </c>
      <c r="D218" s="56" t="s">
        <v>124</v>
      </c>
      <c r="E218" s="57">
        <v>4</v>
      </c>
      <c r="F218" s="56" t="s">
        <v>125</v>
      </c>
      <c r="G218" s="4"/>
      <c r="H218" s="56"/>
      <c r="I218" s="56" t="s">
        <v>522</v>
      </c>
      <c r="J218" s="56"/>
    </row>
    <row r="219" ht="20" customHeight="1" spans="1:10">
      <c r="A219" s="55"/>
      <c r="B219" s="56"/>
      <c r="C219" s="56"/>
      <c r="D219" s="56" t="s">
        <v>523</v>
      </c>
      <c r="E219" s="57">
        <v>360</v>
      </c>
      <c r="F219" s="56" t="s">
        <v>184</v>
      </c>
      <c r="G219" s="4" t="s">
        <v>15</v>
      </c>
      <c r="H219" s="56" t="s">
        <v>524</v>
      </c>
      <c r="I219" s="56" t="s">
        <v>519</v>
      </c>
      <c r="J219" s="56"/>
    </row>
    <row r="220" ht="20" customHeight="1" spans="1:10">
      <c r="A220" s="55">
        <v>45077</v>
      </c>
      <c r="B220" s="56">
        <v>1</v>
      </c>
      <c r="C220" s="56" t="s">
        <v>525</v>
      </c>
      <c r="D220" s="56" t="s">
        <v>526</v>
      </c>
      <c r="E220" s="57">
        <v>-1650</v>
      </c>
      <c r="F220" s="56" t="s">
        <v>20</v>
      </c>
      <c r="G220" s="56" t="s">
        <v>130</v>
      </c>
      <c r="H220" s="56" t="s">
        <v>527</v>
      </c>
      <c r="I220" s="56" t="s">
        <v>82</v>
      </c>
      <c r="J220" s="56"/>
    </row>
    <row r="221" ht="20" customHeight="1" spans="2:10">
      <c r="B221" s="56"/>
      <c r="C221" s="56"/>
      <c r="D221" s="56" t="s">
        <v>115</v>
      </c>
      <c r="E221" s="57">
        <v>-977</v>
      </c>
      <c r="F221" s="56" t="s">
        <v>20</v>
      </c>
      <c r="G221" s="56" t="s">
        <v>130</v>
      </c>
      <c r="H221" s="56" t="s">
        <v>528</v>
      </c>
      <c r="I221" s="56" t="s">
        <v>82</v>
      </c>
      <c r="J221" s="56"/>
    </row>
    <row r="222" ht="20" customHeight="1" spans="1:10">
      <c r="A222" s="55">
        <v>45077</v>
      </c>
      <c r="B222" s="56">
        <v>2</v>
      </c>
      <c r="C222" s="56" t="s">
        <v>525</v>
      </c>
      <c r="D222" s="56" t="s">
        <v>526</v>
      </c>
      <c r="E222" s="57">
        <v>-1650</v>
      </c>
      <c r="F222" s="56" t="s">
        <v>20</v>
      </c>
      <c r="G222" s="56" t="s">
        <v>130</v>
      </c>
      <c r="H222" s="56" t="s">
        <v>529</v>
      </c>
      <c r="I222" s="56" t="s">
        <v>82</v>
      </c>
      <c r="J222" s="56"/>
    </row>
    <row r="223" ht="20" customHeight="1" spans="1:10">
      <c r="A223" s="55"/>
      <c r="B223" s="56"/>
      <c r="C223" s="56"/>
      <c r="D223" s="56" t="s">
        <v>115</v>
      </c>
      <c r="E223" s="57">
        <v>-1005</v>
      </c>
      <c r="F223" s="56" t="s">
        <v>20</v>
      </c>
      <c r="G223" s="56" t="s">
        <v>130</v>
      </c>
      <c r="H223" s="56" t="s">
        <v>530</v>
      </c>
      <c r="I223" s="56" t="s">
        <v>82</v>
      </c>
      <c r="J223" s="56"/>
    </row>
    <row r="224" ht="20" customHeight="1" spans="1:10">
      <c r="A224" s="55">
        <v>45077</v>
      </c>
      <c r="B224" s="56">
        <v>3</v>
      </c>
      <c r="C224" s="56" t="s">
        <v>525</v>
      </c>
      <c r="D224" s="56" t="s">
        <v>526</v>
      </c>
      <c r="E224" s="57">
        <v>-1050</v>
      </c>
      <c r="F224" s="56" t="s">
        <v>20</v>
      </c>
      <c r="G224" s="56" t="s">
        <v>130</v>
      </c>
      <c r="H224" s="56" t="s">
        <v>531</v>
      </c>
      <c r="I224" s="56" t="s">
        <v>82</v>
      </c>
      <c r="J224" s="56"/>
    </row>
    <row r="225" ht="20" customHeight="1" spans="1:10">
      <c r="A225" s="55"/>
      <c r="B225" s="56"/>
      <c r="C225" s="56"/>
      <c r="D225" s="56" t="s">
        <v>115</v>
      </c>
      <c r="E225" s="57">
        <v>-648</v>
      </c>
      <c r="F225" s="56" t="s">
        <v>20</v>
      </c>
      <c r="G225" s="56" t="s">
        <v>130</v>
      </c>
      <c r="H225" s="56" t="s">
        <v>532</v>
      </c>
      <c r="I225" s="56" t="s">
        <v>82</v>
      </c>
      <c r="J225" s="56"/>
    </row>
    <row r="226" ht="20" customHeight="1" spans="2:10">
      <c r="B226" s="56"/>
      <c r="C226" s="56"/>
      <c r="D226" s="56" t="s">
        <v>115</v>
      </c>
      <c r="E226" s="57">
        <v>-330</v>
      </c>
      <c r="F226" s="56" t="s">
        <v>20</v>
      </c>
      <c r="G226" s="56" t="s">
        <v>130</v>
      </c>
      <c r="H226" s="56" t="s">
        <v>533</v>
      </c>
      <c r="I226" s="56" t="s">
        <v>82</v>
      </c>
      <c r="J226" s="56"/>
    </row>
    <row r="227" ht="20" customHeight="1" spans="1:10">
      <c r="A227" s="55">
        <v>45077</v>
      </c>
      <c r="B227" s="56">
        <v>4</v>
      </c>
      <c r="C227" s="56" t="s">
        <v>525</v>
      </c>
      <c r="D227" s="56" t="s">
        <v>115</v>
      </c>
      <c r="E227" s="57">
        <v>-321</v>
      </c>
      <c r="F227" s="56" t="s">
        <v>20</v>
      </c>
      <c r="G227" s="56" t="s">
        <v>130</v>
      </c>
      <c r="H227" s="56" t="s">
        <v>534</v>
      </c>
      <c r="I227" s="56" t="s">
        <v>82</v>
      </c>
      <c r="J227" s="56"/>
    </row>
    <row r="228" ht="20" customHeight="1" spans="1:10">
      <c r="A228" s="55">
        <v>45077</v>
      </c>
      <c r="B228" s="56">
        <v>5</v>
      </c>
      <c r="C228" s="56" t="s">
        <v>216</v>
      </c>
      <c r="D228" s="56" t="s">
        <v>110</v>
      </c>
      <c r="E228" s="57">
        <v>218</v>
      </c>
      <c r="F228" s="56" t="s">
        <v>111</v>
      </c>
      <c r="G228" s="4" t="s">
        <v>15</v>
      </c>
      <c r="H228" s="56" t="s">
        <v>535</v>
      </c>
      <c r="I228" s="56" t="s">
        <v>536</v>
      </c>
      <c r="J228" s="56"/>
    </row>
    <row r="229" ht="20" customHeight="1" spans="1:10">
      <c r="A229" s="55">
        <v>45077</v>
      </c>
      <c r="B229" s="56">
        <v>6</v>
      </c>
      <c r="C229" s="56" t="s">
        <v>114</v>
      </c>
      <c r="D229" s="56" t="s">
        <v>115</v>
      </c>
      <c r="E229" s="57">
        <v>806.1</v>
      </c>
      <c r="F229" s="56" t="s">
        <v>116</v>
      </c>
      <c r="G229" s="4" t="s">
        <v>15</v>
      </c>
      <c r="H229" s="56" t="s">
        <v>537</v>
      </c>
      <c r="I229" s="56" t="s">
        <v>536</v>
      </c>
      <c r="J229" s="56"/>
    </row>
    <row r="230" ht="20" customHeight="1" spans="1:10">
      <c r="A230" s="55">
        <v>45077</v>
      </c>
      <c r="B230" s="56">
        <v>7</v>
      </c>
      <c r="C230" s="56" t="s">
        <v>342</v>
      </c>
      <c r="D230" s="56" t="s">
        <v>269</v>
      </c>
      <c r="E230" s="57">
        <v>11</v>
      </c>
      <c r="F230" s="56" t="s">
        <v>205</v>
      </c>
      <c r="G230" s="56"/>
      <c r="H230" s="56"/>
      <c r="I230" s="58" t="s">
        <v>538</v>
      </c>
      <c r="J230" s="58"/>
    </row>
    <row r="231" ht="20" customHeight="1" spans="1:10">
      <c r="A231" s="55"/>
      <c r="B231" s="56"/>
      <c r="C231" s="56"/>
      <c r="D231" s="56" t="s">
        <v>124</v>
      </c>
      <c r="E231" s="57">
        <v>2</v>
      </c>
      <c r="F231" s="56" t="s">
        <v>125</v>
      </c>
      <c r="G231" s="56"/>
      <c r="H231" s="56"/>
      <c r="I231" s="59"/>
      <c r="J231" s="59"/>
    </row>
    <row r="232" ht="20" customHeight="1" spans="1:10">
      <c r="A232" s="55">
        <v>45138</v>
      </c>
      <c r="B232" s="56">
        <v>3</v>
      </c>
      <c r="C232" s="56" t="s">
        <v>539</v>
      </c>
      <c r="D232" s="56" t="s">
        <v>115</v>
      </c>
      <c r="E232" s="57">
        <v>-317</v>
      </c>
      <c r="F232" s="56" t="s">
        <v>315</v>
      </c>
      <c r="G232" s="56" t="s">
        <v>130</v>
      </c>
      <c r="H232" s="56" t="s">
        <v>540</v>
      </c>
      <c r="I232" s="56" t="s">
        <v>89</v>
      </c>
      <c r="J232" s="56"/>
    </row>
    <row r="233" ht="20" customHeight="1" spans="1:10">
      <c r="A233" s="55">
        <v>45138</v>
      </c>
      <c r="B233" s="56">
        <v>4</v>
      </c>
      <c r="C233" s="56" t="s">
        <v>541</v>
      </c>
      <c r="D233" s="56" t="s">
        <v>526</v>
      </c>
      <c r="E233" s="57">
        <v>-600</v>
      </c>
      <c r="F233" s="56" t="s">
        <v>542</v>
      </c>
      <c r="G233" s="56" t="s">
        <v>130</v>
      </c>
      <c r="H233" s="56" t="s">
        <v>543</v>
      </c>
      <c r="I233" s="56" t="s">
        <v>89</v>
      </c>
      <c r="J233" s="56"/>
    </row>
    <row r="234" ht="20" customHeight="1" spans="1:10">
      <c r="A234" s="55"/>
      <c r="B234" s="56"/>
      <c r="C234" s="56"/>
      <c r="D234" s="56" t="s">
        <v>115</v>
      </c>
      <c r="E234" s="57">
        <v>-759</v>
      </c>
      <c r="F234" s="56" t="s">
        <v>542</v>
      </c>
      <c r="G234" s="56" t="s">
        <v>130</v>
      </c>
      <c r="H234" s="56" t="s">
        <v>544</v>
      </c>
      <c r="I234" s="56" t="s">
        <v>89</v>
      </c>
      <c r="J234" s="56"/>
    </row>
    <row r="235" ht="20" customHeight="1" spans="1:10">
      <c r="A235" s="55">
        <v>45138</v>
      </c>
      <c r="B235" s="56">
        <v>5</v>
      </c>
      <c r="C235" s="52" t="s">
        <v>541</v>
      </c>
      <c r="D235" s="56" t="s">
        <v>526</v>
      </c>
      <c r="E235" s="57">
        <v>-600</v>
      </c>
      <c r="F235" s="56" t="s">
        <v>542</v>
      </c>
      <c r="G235" s="56" t="s">
        <v>130</v>
      </c>
      <c r="H235" s="56" t="s">
        <v>545</v>
      </c>
      <c r="I235" s="56" t="s">
        <v>89</v>
      </c>
      <c r="J235" s="56"/>
    </row>
    <row r="236" ht="20" customHeight="1" spans="1:10">
      <c r="A236" s="55">
        <v>45138</v>
      </c>
      <c r="B236" s="56">
        <v>6</v>
      </c>
      <c r="C236" s="56" t="s">
        <v>322</v>
      </c>
      <c r="D236" s="56" t="s">
        <v>115</v>
      </c>
      <c r="E236" s="57">
        <v>-783</v>
      </c>
      <c r="F236" s="56" t="s">
        <v>20</v>
      </c>
      <c r="G236" s="56" t="s">
        <v>130</v>
      </c>
      <c r="H236" s="56" t="s">
        <v>546</v>
      </c>
      <c r="I236" s="56" t="s">
        <v>89</v>
      </c>
      <c r="J236" s="56"/>
    </row>
    <row r="237" ht="20" customHeight="1" spans="1:10">
      <c r="A237" s="55">
        <v>45138</v>
      </c>
      <c r="B237" s="56">
        <v>7</v>
      </c>
      <c r="C237" s="56" t="s">
        <v>216</v>
      </c>
      <c r="D237" s="56" t="s">
        <v>110</v>
      </c>
      <c r="E237" s="57">
        <v>218</v>
      </c>
      <c r="F237" s="56" t="s">
        <v>111</v>
      </c>
      <c r="G237" s="4" t="s">
        <v>15</v>
      </c>
      <c r="H237" s="56" t="s">
        <v>547</v>
      </c>
      <c r="I237" s="56" t="s">
        <v>548</v>
      </c>
      <c r="J237" s="56"/>
    </row>
    <row r="238" ht="20" customHeight="1" spans="1:10">
      <c r="A238" s="55">
        <v>45138</v>
      </c>
      <c r="B238" s="56">
        <v>8</v>
      </c>
      <c r="C238" s="56" t="s">
        <v>114</v>
      </c>
      <c r="D238" s="56" t="s">
        <v>115</v>
      </c>
      <c r="E238" s="57">
        <v>1352.08</v>
      </c>
      <c r="F238" s="56" t="s">
        <v>116</v>
      </c>
      <c r="G238" s="4" t="s">
        <v>15</v>
      </c>
      <c r="H238" s="56" t="s">
        <v>549</v>
      </c>
      <c r="I238" s="56" t="s">
        <v>548</v>
      </c>
      <c r="J238" s="56"/>
    </row>
    <row r="239" ht="20" customHeight="1" spans="1:10">
      <c r="A239" s="55">
        <v>45138</v>
      </c>
      <c r="B239" s="56">
        <v>10</v>
      </c>
      <c r="C239" s="56" t="s">
        <v>550</v>
      </c>
      <c r="D239" s="56" t="s">
        <v>551</v>
      </c>
      <c r="E239" s="57">
        <v>65</v>
      </c>
      <c r="F239" s="56" t="s">
        <v>184</v>
      </c>
      <c r="G239" s="4" t="s">
        <v>15</v>
      </c>
      <c r="H239" s="56" t="s">
        <v>552</v>
      </c>
      <c r="I239" s="56" t="s">
        <v>553</v>
      </c>
      <c r="J239" s="56"/>
    </row>
    <row r="240" ht="20" customHeight="1" spans="1:10">
      <c r="A240" s="55"/>
      <c r="B240" s="56"/>
      <c r="C240" s="56"/>
      <c r="D240" s="56" t="s">
        <v>269</v>
      </c>
      <c r="E240" s="57">
        <v>45</v>
      </c>
      <c r="F240" s="56" t="s">
        <v>205</v>
      </c>
      <c r="G240" s="56"/>
      <c r="H240" s="56"/>
      <c r="I240" s="56" t="s">
        <v>553</v>
      </c>
      <c r="J240" s="56"/>
    </row>
    <row r="241" ht="20" customHeight="1" spans="1:10">
      <c r="A241" s="55">
        <v>45169</v>
      </c>
      <c r="B241" s="56">
        <v>1</v>
      </c>
      <c r="C241" s="56" t="s">
        <v>216</v>
      </c>
      <c r="D241" s="56" t="s">
        <v>110</v>
      </c>
      <c r="E241" s="57">
        <v>218</v>
      </c>
      <c r="F241" s="56" t="s">
        <v>111</v>
      </c>
      <c r="G241" s="4" t="s">
        <v>15</v>
      </c>
      <c r="H241" s="56" t="s">
        <v>554</v>
      </c>
      <c r="I241" s="56" t="s">
        <v>555</v>
      </c>
      <c r="J241" s="56"/>
    </row>
    <row r="242" ht="20" customHeight="1" spans="1:10">
      <c r="A242" s="55">
        <v>45169</v>
      </c>
      <c r="B242" s="56">
        <v>2</v>
      </c>
      <c r="C242" s="56" t="s">
        <v>114</v>
      </c>
      <c r="D242" s="56" t="s">
        <v>115</v>
      </c>
      <c r="E242" s="57">
        <v>964.56</v>
      </c>
      <c r="F242" s="56" t="s">
        <v>116</v>
      </c>
      <c r="G242" s="4" t="s">
        <v>15</v>
      </c>
      <c r="H242" s="56" t="s">
        <v>556</v>
      </c>
      <c r="I242" s="56" t="s">
        <v>555</v>
      </c>
      <c r="J242" s="56"/>
    </row>
    <row r="243" ht="20" customHeight="1" spans="1:10">
      <c r="A243" s="55">
        <v>45169</v>
      </c>
      <c r="B243" s="56">
        <v>4</v>
      </c>
      <c r="C243" s="56" t="s">
        <v>557</v>
      </c>
      <c r="D243" s="56" t="s">
        <v>124</v>
      </c>
      <c r="E243" s="57">
        <v>6</v>
      </c>
      <c r="F243" s="56" t="s">
        <v>125</v>
      </c>
      <c r="G243" s="56"/>
      <c r="H243" s="56"/>
      <c r="I243" s="56" t="s">
        <v>558</v>
      </c>
      <c r="J243" s="56"/>
    </row>
    <row r="244" ht="20" customHeight="1" spans="2:10">
      <c r="B244" s="56"/>
      <c r="C244" s="56"/>
      <c r="D244" s="56" t="s">
        <v>559</v>
      </c>
      <c r="E244" s="57">
        <v>88.2</v>
      </c>
      <c r="F244" s="56" t="s">
        <v>184</v>
      </c>
      <c r="G244" s="4" t="s">
        <v>15</v>
      </c>
      <c r="H244" s="56" t="s">
        <v>560</v>
      </c>
      <c r="I244" s="56" t="s">
        <v>561</v>
      </c>
      <c r="J244" s="56"/>
    </row>
    <row r="245" ht="20" customHeight="1" spans="1:10">
      <c r="A245" s="55">
        <v>45199</v>
      </c>
      <c r="B245" s="56">
        <v>1</v>
      </c>
      <c r="C245" s="56" t="s">
        <v>562</v>
      </c>
      <c r="D245" s="56" t="s">
        <v>115</v>
      </c>
      <c r="E245" s="57">
        <v>-621</v>
      </c>
      <c r="F245" s="56" t="s">
        <v>20</v>
      </c>
      <c r="G245" s="56" t="s">
        <v>130</v>
      </c>
      <c r="H245" s="56" t="s">
        <v>563</v>
      </c>
      <c r="I245" s="56" t="s">
        <v>564</v>
      </c>
      <c r="J245" s="56"/>
    </row>
    <row r="246" ht="20" customHeight="1" spans="1:10">
      <c r="A246" s="55">
        <v>45199</v>
      </c>
      <c r="B246" s="56">
        <v>3</v>
      </c>
      <c r="C246" s="56" t="s">
        <v>216</v>
      </c>
      <c r="D246" s="56" t="s">
        <v>110</v>
      </c>
      <c r="E246" s="57">
        <v>218</v>
      </c>
      <c r="F246" s="56" t="s">
        <v>111</v>
      </c>
      <c r="G246" s="4" t="s">
        <v>15</v>
      </c>
      <c r="H246" s="56" t="s">
        <v>565</v>
      </c>
      <c r="I246" s="56" t="s">
        <v>566</v>
      </c>
      <c r="J246" s="56"/>
    </row>
    <row r="247" ht="20" customHeight="1" spans="1:10">
      <c r="A247" s="55">
        <v>45199</v>
      </c>
      <c r="B247" s="56">
        <v>4</v>
      </c>
      <c r="C247" s="56" t="s">
        <v>114</v>
      </c>
      <c r="D247" s="56" t="s">
        <v>115</v>
      </c>
      <c r="E247" s="57">
        <v>25.65</v>
      </c>
      <c r="F247" s="56" t="s">
        <v>116</v>
      </c>
      <c r="G247" s="4" t="s">
        <v>15</v>
      </c>
      <c r="H247" s="56" t="s">
        <v>567</v>
      </c>
      <c r="I247" s="56" t="s">
        <v>566</v>
      </c>
      <c r="J247" s="56"/>
    </row>
    <row r="248" ht="20" customHeight="1" spans="1:10">
      <c r="A248" s="55">
        <v>45199</v>
      </c>
      <c r="B248" s="56">
        <v>5</v>
      </c>
      <c r="C248" s="56" t="s">
        <v>568</v>
      </c>
      <c r="D248" s="56" t="s">
        <v>569</v>
      </c>
      <c r="E248" s="57">
        <v>55.8</v>
      </c>
      <c r="F248" s="56" t="s">
        <v>570</v>
      </c>
      <c r="G248" s="4" t="s">
        <v>15</v>
      </c>
      <c r="H248" s="56" t="s">
        <v>571</v>
      </c>
      <c r="I248" s="56" t="s">
        <v>572</v>
      </c>
      <c r="J248" s="56"/>
    </row>
    <row r="249" ht="20" customHeight="1" spans="1:10">
      <c r="A249" s="55">
        <v>45230</v>
      </c>
      <c r="B249" s="56">
        <v>1</v>
      </c>
      <c r="C249" s="56" t="s">
        <v>573</v>
      </c>
      <c r="D249" s="56" t="s">
        <v>110</v>
      </c>
      <c r="E249" s="57">
        <v>218</v>
      </c>
      <c r="F249" s="56" t="s">
        <v>111</v>
      </c>
      <c r="G249" s="4" t="s">
        <v>15</v>
      </c>
      <c r="H249" s="56" t="s">
        <v>574</v>
      </c>
      <c r="I249" s="56" t="s">
        <v>575</v>
      </c>
      <c r="J249" s="56"/>
    </row>
    <row r="250" ht="20" customHeight="1" spans="1:10">
      <c r="A250" s="55">
        <v>45230</v>
      </c>
      <c r="B250" s="56">
        <v>2</v>
      </c>
      <c r="C250" s="56" t="s">
        <v>114</v>
      </c>
      <c r="D250" s="56" t="s">
        <v>115</v>
      </c>
      <c r="E250" s="57">
        <v>22.13</v>
      </c>
      <c r="F250" s="56" t="s">
        <v>116</v>
      </c>
      <c r="G250" s="4" t="s">
        <v>15</v>
      </c>
      <c r="H250" s="56" t="s">
        <v>576</v>
      </c>
      <c r="I250" s="56" t="s">
        <v>575</v>
      </c>
      <c r="J250" s="56"/>
    </row>
    <row r="251" ht="20" customHeight="1" spans="1:10">
      <c r="A251" s="55">
        <v>45230</v>
      </c>
      <c r="B251" s="56">
        <v>4</v>
      </c>
      <c r="C251" s="56" t="s">
        <v>577</v>
      </c>
      <c r="D251" s="56" t="s">
        <v>578</v>
      </c>
      <c r="E251" s="57">
        <v>207</v>
      </c>
      <c r="F251" s="56" t="s">
        <v>579</v>
      </c>
      <c r="G251" s="4" t="s">
        <v>15</v>
      </c>
      <c r="H251" s="56" t="s">
        <v>580</v>
      </c>
      <c r="I251" s="56" t="s">
        <v>581</v>
      </c>
      <c r="J251" s="56"/>
    </row>
    <row r="252" ht="20" customHeight="1" spans="1:10">
      <c r="A252" s="55">
        <v>45260</v>
      </c>
      <c r="B252" s="56">
        <v>1</v>
      </c>
      <c r="C252" s="56" t="s">
        <v>216</v>
      </c>
      <c r="D252" s="56" t="s">
        <v>110</v>
      </c>
      <c r="E252" s="57">
        <v>218</v>
      </c>
      <c r="F252" s="56" t="s">
        <v>111</v>
      </c>
      <c r="G252" s="4" t="s">
        <v>15</v>
      </c>
      <c r="H252" s="56" t="s">
        <v>582</v>
      </c>
      <c r="I252" s="56" t="s">
        <v>583</v>
      </c>
      <c r="J252" s="56"/>
    </row>
    <row r="253" ht="20" customHeight="1" spans="1:10">
      <c r="A253" s="55">
        <v>45260</v>
      </c>
      <c r="B253" s="56">
        <v>2</v>
      </c>
      <c r="C253" s="56" t="s">
        <v>114</v>
      </c>
      <c r="D253" s="56" t="s">
        <v>115</v>
      </c>
      <c r="E253" s="57">
        <v>17</v>
      </c>
      <c r="F253" s="56" t="s">
        <v>116</v>
      </c>
      <c r="G253" s="4" t="s">
        <v>15</v>
      </c>
      <c r="H253" s="56" t="s">
        <v>584</v>
      </c>
      <c r="I253" s="56" t="s">
        <v>583</v>
      </c>
      <c r="J253" s="56"/>
    </row>
    <row r="254" ht="20" customHeight="1" spans="1:10">
      <c r="A254" s="55">
        <v>45260</v>
      </c>
      <c r="B254" s="56">
        <v>3</v>
      </c>
      <c r="C254" s="56" t="s">
        <v>425</v>
      </c>
      <c r="D254" s="56" t="s">
        <v>269</v>
      </c>
      <c r="E254" s="57">
        <v>11</v>
      </c>
      <c r="F254" s="56" t="s">
        <v>205</v>
      </c>
      <c r="G254" s="56"/>
      <c r="H254" s="56"/>
      <c r="I254" s="58" t="s">
        <v>585</v>
      </c>
      <c r="J254" s="58"/>
    </row>
    <row r="255" ht="20" customHeight="1" spans="2:10">
      <c r="B255" s="56"/>
      <c r="C255" s="56"/>
      <c r="D255" s="56" t="s">
        <v>124</v>
      </c>
      <c r="E255" s="57">
        <v>4</v>
      </c>
      <c r="F255" s="56" t="s">
        <v>125</v>
      </c>
      <c r="G255" s="56"/>
      <c r="H255" s="56"/>
      <c r="I255" s="59"/>
      <c r="J255" s="59"/>
    </row>
    <row r="256" ht="20" customHeight="1" spans="1:10">
      <c r="A256" s="55">
        <v>45291</v>
      </c>
      <c r="B256" s="56">
        <v>1</v>
      </c>
      <c r="C256" s="56" t="s">
        <v>216</v>
      </c>
      <c r="D256" s="56" t="s">
        <v>110</v>
      </c>
      <c r="E256" s="57">
        <v>218</v>
      </c>
      <c r="F256" s="56" t="s">
        <v>111</v>
      </c>
      <c r="G256" s="4" t="s">
        <v>15</v>
      </c>
      <c r="H256" s="56" t="s">
        <v>586</v>
      </c>
      <c r="I256" s="56" t="s">
        <v>587</v>
      </c>
      <c r="J256" s="56"/>
    </row>
    <row r="257" ht="20" customHeight="1" spans="1:10">
      <c r="A257" s="55"/>
      <c r="B257" s="56">
        <v>2</v>
      </c>
      <c r="C257" s="56" t="s">
        <v>114</v>
      </c>
      <c r="D257" s="56" t="s">
        <v>115</v>
      </c>
      <c r="E257" s="57">
        <v>20.24</v>
      </c>
      <c r="F257" s="56" t="s">
        <v>116</v>
      </c>
      <c r="G257" s="4" t="s">
        <v>15</v>
      </c>
      <c r="H257" s="56" t="s">
        <v>588</v>
      </c>
      <c r="I257" s="56" t="s">
        <v>587</v>
      </c>
      <c r="J257" s="56"/>
    </row>
    <row r="258" ht="20" customHeight="1" spans="1:10">
      <c r="A258" s="55">
        <v>45322</v>
      </c>
      <c r="B258" s="56">
        <v>3</v>
      </c>
      <c r="C258" s="56" t="s">
        <v>589</v>
      </c>
      <c r="D258" s="56" t="s">
        <v>110</v>
      </c>
      <c r="E258" s="57">
        <v>248.13</v>
      </c>
      <c r="F258" s="56" t="s">
        <v>111</v>
      </c>
      <c r="G258" s="4" t="s">
        <v>15</v>
      </c>
      <c r="H258" s="56" t="s">
        <v>590</v>
      </c>
      <c r="I258" s="56" t="s">
        <v>591</v>
      </c>
      <c r="J258" s="56"/>
    </row>
    <row r="259" ht="20" customHeight="1" spans="2:10">
      <c r="B259" s="56"/>
      <c r="C259" s="56"/>
      <c r="D259" s="56" t="s">
        <v>110</v>
      </c>
      <c r="E259" s="57">
        <v>51</v>
      </c>
      <c r="F259" s="56" t="s">
        <v>111</v>
      </c>
      <c r="G259" s="4" t="s">
        <v>15</v>
      </c>
      <c r="H259" s="56" t="s">
        <v>592</v>
      </c>
      <c r="I259" s="56" t="s">
        <v>593</v>
      </c>
      <c r="J259" s="56"/>
    </row>
    <row r="260" ht="20" customHeight="1" spans="1:10">
      <c r="A260" s="55">
        <v>45322</v>
      </c>
      <c r="B260" s="56">
        <v>4</v>
      </c>
      <c r="C260" s="56" t="s">
        <v>114</v>
      </c>
      <c r="D260" s="56" t="s">
        <v>115</v>
      </c>
      <c r="E260" s="57">
        <v>17</v>
      </c>
      <c r="F260" s="56" t="s">
        <v>116</v>
      </c>
      <c r="G260" s="4" t="s">
        <v>15</v>
      </c>
      <c r="H260" s="56" t="s">
        <v>594</v>
      </c>
      <c r="I260" s="56" t="s">
        <v>591</v>
      </c>
      <c r="J260" s="56"/>
    </row>
    <row r="261" ht="20" customHeight="1" spans="1:10">
      <c r="A261" s="55">
        <v>45322</v>
      </c>
      <c r="B261" s="56">
        <v>5</v>
      </c>
      <c r="C261" s="56" t="s">
        <v>595</v>
      </c>
      <c r="D261" s="56" t="s">
        <v>596</v>
      </c>
      <c r="E261" s="57">
        <v>65</v>
      </c>
      <c r="F261" s="56" t="s">
        <v>597</v>
      </c>
      <c r="G261" s="4" t="s">
        <v>15</v>
      </c>
      <c r="H261" s="56" t="s">
        <v>598</v>
      </c>
      <c r="I261" s="56" t="s">
        <v>599</v>
      </c>
      <c r="J261" s="56"/>
    </row>
    <row r="262" ht="20" customHeight="1" spans="1:10">
      <c r="A262" s="55">
        <v>45322</v>
      </c>
      <c r="B262" s="56">
        <v>9</v>
      </c>
      <c r="C262" s="56" t="s">
        <v>600</v>
      </c>
      <c r="D262" s="56" t="s">
        <v>110</v>
      </c>
      <c r="E262" s="57">
        <v>-710</v>
      </c>
      <c r="F262" s="56" t="s">
        <v>601</v>
      </c>
      <c r="G262" s="56" t="s">
        <v>130</v>
      </c>
      <c r="H262" s="56" t="s">
        <v>602</v>
      </c>
      <c r="I262" s="56" t="s">
        <v>603</v>
      </c>
      <c r="J262" s="56"/>
    </row>
    <row r="263" ht="20" customHeight="1" spans="1:10">
      <c r="A263" s="55">
        <v>45351</v>
      </c>
      <c r="B263" s="56">
        <v>1</v>
      </c>
      <c r="C263" s="56" t="s">
        <v>114</v>
      </c>
      <c r="D263" s="56" t="s">
        <v>115</v>
      </c>
      <c r="E263" s="57">
        <v>18.78</v>
      </c>
      <c r="F263" s="56" t="s">
        <v>116</v>
      </c>
      <c r="G263" s="4" t="s">
        <v>15</v>
      </c>
      <c r="H263" s="56" t="s">
        <v>604</v>
      </c>
      <c r="I263" s="56" t="s">
        <v>593</v>
      </c>
      <c r="J263" s="56"/>
    </row>
    <row r="264" ht="20" customHeight="1" spans="1:10">
      <c r="A264" s="55">
        <v>45382</v>
      </c>
      <c r="B264" s="56">
        <v>1</v>
      </c>
      <c r="C264" s="56" t="s">
        <v>605</v>
      </c>
      <c r="D264" s="56" t="s">
        <v>115</v>
      </c>
      <c r="E264" s="57">
        <v>-100</v>
      </c>
      <c r="F264" s="56" t="s">
        <v>26</v>
      </c>
      <c r="G264" s="56" t="s">
        <v>130</v>
      </c>
      <c r="H264" s="56" t="s">
        <v>606</v>
      </c>
      <c r="I264" s="56" t="s">
        <v>607</v>
      </c>
      <c r="J264" s="56"/>
    </row>
    <row r="265" ht="20" customHeight="1" spans="1:10">
      <c r="A265" s="55">
        <v>45382</v>
      </c>
      <c r="B265" s="56">
        <v>2</v>
      </c>
      <c r="C265" s="56" t="s">
        <v>216</v>
      </c>
      <c r="D265" s="56" t="s">
        <v>110</v>
      </c>
      <c r="E265" s="57">
        <v>149</v>
      </c>
      <c r="F265" s="56" t="s">
        <v>111</v>
      </c>
      <c r="G265" s="4" t="s">
        <v>15</v>
      </c>
      <c r="H265" s="56" t="s">
        <v>608</v>
      </c>
      <c r="I265" s="56" t="s">
        <v>609</v>
      </c>
      <c r="J265" s="56"/>
    </row>
    <row r="266" ht="20" customHeight="1" spans="1:10">
      <c r="A266" s="55">
        <v>45382</v>
      </c>
      <c r="B266" s="56">
        <v>3</v>
      </c>
      <c r="C266" s="56" t="s">
        <v>114</v>
      </c>
      <c r="D266" s="56" t="s">
        <v>115</v>
      </c>
      <c r="E266" s="57">
        <v>18.37</v>
      </c>
      <c r="F266" s="56" t="s">
        <v>116</v>
      </c>
      <c r="G266" s="4" t="s">
        <v>15</v>
      </c>
      <c r="H266" s="56" t="s">
        <v>610</v>
      </c>
      <c r="I266" s="56" t="s">
        <v>609</v>
      </c>
      <c r="J266" s="56"/>
    </row>
    <row r="267" ht="20" customHeight="1" spans="1:10">
      <c r="A267" s="55">
        <v>45382</v>
      </c>
      <c r="B267" s="56">
        <v>5</v>
      </c>
      <c r="C267" s="56" t="s">
        <v>425</v>
      </c>
      <c r="D267" s="56" t="s">
        <v>269</v>
      </c>
      <c r="E267" s="57">
        <v>17</v>
      </c>
      <c r="F267" s="56" t="s">
        <v>205</v>
      </c>
      <c r="G267" s="56"/>
      <c r="H267" s="56"/>
      <c r="I267" s="58" t="s">
        <v>607</v>
      </c>
      <c r="J267" s="58"/>
    </row>
    <row r="268" ht="20" customHeight="1" spans="2:10">
      <c r="B268" s="56"/>
      <c r="C268" s="56"/>
      <c r="D268" s="56" t="s">
        <v>124</v>
      </c>
      <c r="E268" s="57">
        <v>2</v>
      </c>
      <c r="F268" s="56" t="s">
        <v>125</v>
      </c>
      <c r="G268" s="56"/>
      <c r="H268" s="56"/>
      <c r="I268" s="59"/>
      <c r="J268" s="59"/>
    </row>
    <row r="269" ht="20" customHeight="1" spans="1:10">
      <c r="A269" s="55">
        <v>45412</v>
      </c>
      <c r="B269" s="56">
        <v>1</v>
      </c>
      <c r="C269" s="56" t="s">
        <v>216</v>
      </c>
      <c r="D269" s="56" t="s">
        <v>110</v>
      </c>
      <c r="E269" s="57">
        <v>149</v>
      </c>
      <c r="F269" s="56" t="s">
        <v>111</v>
      </c>
      <c r="G269" s="4" t="s">
        <v>15</v>
      </c>
      <c r="H269" s="56" t="s">
        <v>611</v>
      </c>
      <c r="I269" s="56" t="s">
        <v>612</v>
      </c>
      <c r="J269" s="56"/>
    </row>
    <row r="270" ht="20" customHeight="1" spans="1:10">
      <c r="A270" s="55">
        <v>45412</v>
      </c>
      <c r="B270" s="56">
        <v>2</v>
      </c>
      <c r="C270" s="56" t="s">
        <v>114</v>
      </c>
      <c r="D270" s="56" t="s">
        <v>115</v>
      </c>
      <c r="E270" s="57">
        <v>20.73</v>
      </c>
      <c r="F270" s="56" t="s">
        <v>116</v>
      </c>
      <c r="G270" s="4" t="s">
        <v>15</v>
      </c>
      <c r="H270" s="56" t="s">
        <v>613</v>
      </c>
      <c r="I270" s="56" t="s">
        <v>612</v>
      </c>
      <c r="J270" s="56"/>
    </row>
    <row r="271" ht="20" customHeight="1" spans="1:10">
      <c r="A271" s="55">
        <v>45412</v>
      </c>
      <c r="B271" s="56">
        <v>4</v>
      </c>
      <c r="C271" s="56" t="s">
        <v>614</v>
      </c>
      <c r="D271" s="56" t="s">
        <v>312</v>
      </c>
      <c r="E271" s="57">
        <v>18</v>
      </c>
      <c r="F271" s="56" t="s">
        <v>615</v>
      </c>
      <c r="G271" s="56"/>
      <c r="H271" s="56"/>
      <c r="I271" s="56" t="s">
        <v>616</v>
      </c>
      <c r="J271" s="56"/>
    </row>
    <row r="272" ht="20" customHeight="1" spans="1:10">
      <c r="A272" s="55">
        <v>45443</v>
      </c>
      <c r="B272" s="56">
        <v>1</v>
      </c>
      <c r="C272" s="56" t="s">
        <v>216</v>
      </c>
      <c r="D272" s="56" t="s">
        <v>110</v>
      </c>
      <c r="E272" s="57">
        <v>149</v>
      </c>
      <c r="F272" s="56" t="s">
        <v>111</v>
      </c>
      <c r="G272" s="4" t="s">
        <v>15</v>
      </c>
      <c r="H272" s="56" t="s">
        <v>617</v>
      </c>
      <c r="I272" s="56" t="s">
        <v>618</v>
      </c>
      <c r="J272" s="56"/>
    </row>
    <row r="273" ht="20" customHeight="1" spans="1:10">
      <c r="A273" s="55">
        <v>45443</v>
      </c>
      <c r="B273" s="56">
        <v>2</v>
      </c>
      <c r="C273" s="56" t="s">
        <v>114</v>
      </c>
      <c r="D273" s="56" t="s">
        <v>115</v>
      </c>
      <c r="E273" s="57">
        <v>24.13</v>
      </c>
      <c r="F273" s="56" t="s">
        <v>116</v>
      </c>
      <c r="G273" s="4" t="s">
        <v>15</v>
      </c>
      <c r="H273" s="56" t="s">
        <v>619</v>
      </c>
      <c r="I273" s="56" t="s">
        <v>618</v>
      </c>
      <c r="J273" s="56"/>
    </row>
    <row r="274" ht="20" customHeight="1" spans="1:10">
      <c r="A274" s="55">
        <v>45443</v>
      </c>
      <c r="B274" s="56">
        <v>3</v>
      </c>
      <c r="C274" s="56" t="s">
        <v>620</v>
      </c>
      <c r="D274" s="56" t="s">
        <v>506</v>
      </c>
      <c r="E274" s="57">
        <v>850</v>
      </c>
      <c r="F274" s="56" t="s">
        <v>492</v>
      </c>
      <c r="G274" s="4" t="s">
        <v>15</v>
      </c>
      <c r="H274" s="56" t="s">
        <v>621</v>
      </c>
      <c r="I274" s="56" t="s">
        <v>622</v>
      </c>
      <c r="J274" s="56"/>
    </row>
    <row r="275" ht="20" customHeight="1" spans="1:10">
      <c r="A275" s="55">
        <v>45443</v>
      </c>
      <c r="B275" s="56">
        <v>4</v>
      </c>
      <c r="C275" s="56" t="s">
        <v>623</v>
      </c>
      <c r="D275" s="56" t="s">
        <v>624</v>
      </c>
      <c r="E275" s="57">
        <v>2200</v>
      </c>
      <c r="F275" s="56" t="s">
        <v>625</v>
      </c>
      <c r="G275" s="4" t="s">
        <v>15</v>
      </c>
      <c r="H275" s="56" t="s">
        <v>626</v>
      </c>
      <c r="I275" s="56" t="s">
        <v>627</v>
      </c>
      <c r="J275" s="56"/>
    </row>
    <row r="276" ht="20" customHeight="1" spans="1:10">
      <c r="A276" s="55">
        <v>45443</v>
      </c>
      <c r="B276" s="56">
        <v>5</v>
      </c>
      <c r="C276" s="56" t="s">
        <v>628</v>
      </c>
      <c r="D276" s="56"/>
      <c r="E276" s="57">
        <v>26</v>
      </c>
      <c r="F276" s="56" t="s">
        <v>629</v>
      </c>
      <c r="G276" s="56"/>
      <c r="H276" s="56"/>
      <c r="I276" s="56" t="s">
        <v>622</v>
      </c>
      <c r="J276" s="56"/>
    </row>
    <row r="277" ht="20" customHeight="1" spans="1:10">
      <c r="A277" s="55">
        <v>45443</v>
      </c>
      <c r="B277" s="56">
        <v>6</v>
      </c>
      <c r="C277" s="56" t="s">
        <v>508</v>
      </c>
      <c r="D277" s="56" t="s">
        <v>269</v>
      </c>
      <c r="E277" s="57">
        <v>49</v>
      </c>
      <c r="F277" s="56"/>
      <c r="G277" s="56"/>
      <c r="H277" s="56"/>
      <c r="I277" s="56" t="s">
        <v>622</v>
      </c>
      <c r="J277" s="56"/>
    </row>
    <row r="278" ht="20" customHeight="1" spans="1:10">
      <c r="A278" s="55">
        <v>45473</v>
      </c>
      <c r="B278" s="56">
        <v>1</v>
      </c>
      <c r="C278" s="56" t="s">
        <v>216</v>
      </c>
      <c r="D278" s="56" t="s">
        <v>110</v>
      </c>
      <c r="E278" s="57">
        <v>149</v>
      </c>
      <c r="F278" s="56" t="s">
        <v>111</v>
      </c>
      <c r="G278" s="4" t="s">
        <v>15</v>
      </c>
      <c r="H278" s="56" t="s">
        <v>630</v>
      </c>
      <c r="I278" s="56" t="s">
        <v>631</v>
      </c>
      <c r="J278" s="56"/>
    </row>
    <row r="279" ht="20" customHeight="1" spans="1:10">
      <c r="A279" s="55">
        <v>45473</v>
      </c>
      <c r="B279" s="56">
        <v>2</v>
      </c>
      <c r="C279" s="56" t="s">
        <v>114</v>
      </c>
      <c r="D279" s="56" t="s">
        <v>115</v>
      </c>
      <c r="E279" s="57">
        <v>20.73</v>
      </c>
      <c r="F279" s="56" t="s">
        <v>116</v>
      </c>
      <c r="G279" s="4" t="s">
        <v>15</v>
      </c>
      <c r="H279" s="56" t="s">
        <v>632</v>
      </c>
      <c r="I279" s="56" t="s">
        <v>631</v>
      </c>
      <c r="J279" s="56"/>
    </row>
    <row r="280" ht="20" customHeight="1" spans="1:10">
      <c r="A280" s="55">
        <v>45473</v>
      </c>
      <c r="B280" s="56">
        <v>3</v>
      </c>
      <c r="C280" s="56" t="s">
        <v>342</v>
      </c>
      <c r="D280" s="56" t="s">
        <v>124</v>
      </c>
      <c r="E280" s="57">
        <v>4</v>
      </c>
      <c r="F280" s="56"/>
      <c r="G280" s="56"/>
      <c r="H280" s="56"/>
      <c r="I280" s="56" t="s">
        <v>633</v>
      </c>
      <c r="J280" s="56"/>
    </row>
    <row r="281" ht="20" customHeight="1" spans="1:10">
      <c r="A281" s="55">
        <v>45504</v>
      </c>
      <c r="B281" s="56">
        <v>1</v>
      </c>
      <c r="C281" s="56" t="s">
        <v>634</v>
      </c>
      <c r="D281" s="56" t="s">
        <v>110</v>
      </c>
      <c r="E281" s="57">
        <v>149</v>
      </c>
      <c r="F281" s="56" t="s">
        <v>111</v>
      </c>
      <c r="G281" s="4" t="s">
        <v>15</v>
      </c>
      <c r="H281" s="56" t="s">
        <v>635</v>
      </c>
      <c r="I281" s="56" t="s">
        <v>636</v>
      </c>
      <c r="J281" s="56"/>
    </row>
    <row r="282" ht="20" customHeight="1" spans="1:10">
      <c r="A282" s="55">
        <v>45504</v>
      </c>
      <c r="B282" s="56">
        <v>2</v>
      </c>
      <c r="C282" s="56" t="s">
        <v>114</v>
      </c>
      <c r="D282" s="56" t="s">
        <v>115</v>
      </c>
      <c r="E282" s="57">
        <v>24.13</v>
      </c>
      <c r="F282" s="56" t="s">
        <v>116</v>
      </c>
      <c r="G282" s="4" t="s">
        <v>15</v>
      </c>
      <c r="H282" s="56" t="s">
        <v>637</v>
      </c>
      <c r="I282" s="56" t="s">
        <v>636</v>
      </c>
      <c r="J282" s="56"/>
    </row>
    <row r="283" ht="20" customHeight="1" spans="1:10">
      <c r="A283" s="55">
        <v>45504</v>
      </c>
      <c r="B283" s="56">
        <v>3</v>
      </c>
      <c r="C283" s="56" t="s">
        <v>342</v>
      </c>
      <c r="D283" s="56" t="s">
        <v>269</v>
      </c>
      <c r="E283" s="57">
        <v>36</v>
      </c>
      <c r="F283" s="56" t="s">
        <v>205</v>
      </c>
      <c r="G283" s="56"/>
      <c r="H283" s="56"/>
      <c r="I283" s="56" t="s">
        <v>638</v>
      </c>
      <c r="J283" s="56"/>
    </row>
    <row r="284" ht="20" customHeight="1" spans="1:10">
      <c r="A284" s="55">
        <v>45504</v>
      </c>
      <c r="B284" s="56">
        <v>4</v>
      </c>
      <c r="C284" s="56" t="s">
        <v>623</v>
      </c>
      <c r="D284" s="56" t="s">
        <v>624</v>
      </c>
      <c r="E284" s="57">
        <v>-2200</v>
      </c>
      <c r="F284" s="56" t="s">
        <v>625</v>
      </c>
      <c r="G284" s="4" t="s">
        <v>15</v>
      </c>
      <c r="H284" s="56" t="s">
        <v>639</v>
      </c>
      <c r="I284" s="56" t="s">
        <v>640</v>
      </c>
      <c r="J284" s="56"/>
    </row>
    <row r="285" ht="20" customHeight="1" spans="2:10">
      <c r="B285" s="56"/>
      <c r="C285" s="56"/>
      <c r="D285" s="56"/>
      <c r="E285" s="57">
        <v>646</v>
      </c>
      <c r="F285" s="56" t="s">
        <v>625</v>
      </c>
      <c r="G285" s="4" t="s">
        <v>15</v>
      </c>
      <c r="H285" s="56" t="s">
        <v>641</v>
      </c>
      <c r="I285" s="56" t="s">
        <v>640</v>
      </c>
      <c r="J285" s="56"/>
    </row>
    <row r="286" ht="20" customHeight="1" spans="1:10">
      <c r="A286" s="55">
        <v>45535</v>
      </c>
      <c r="B286" s="56">
        <v>1</v>
      </c>
      <c r="C286" s="56" t="s">
        <v>642</v>
      </c>
      <c r="D286" s="56" t="s">
        <v>110</v>
      </c>
      <c r="E286" s="57">
        <v>149</v>
      </c>
      <c r="F286" s="56" t="s">
        <v>111</v>
      </c>
      <c r="G286" s="4" t="s">
        <v>15</v>
      </c>
      <c r="H286" s="56" t="s">
        <v>643</v>
      </c>
      <c r="I286" s="56" t="s">
        <v>644</v>
      </c>
      <c r="J286" s="56"/>
    </row>
    <row r="287" ht="20" customHeight="1" spans="1:10">
      <c r="A287" s="55">
        <v>45535</v>
      </c>
      <c r="B287" s="56">
        <v>2</v>
      </c>
      <c r="C287" s="56" t="s">
        <v>645</v>
      </c>
      <c r="D287" s="56" t="s">
        <v>115</v>
      </c>
      <c r="E287" s="57">
        <v>21.4</v>
      </c>
      <c r="F287" s="56" t="s">
        <v>116</v>
      </c>
      <c r="G287" s="4" t="s">
        <v>15</v>
      </c>
      <c r="H287" s="56" t="s">
        <v>646</v>
      </c>
      <c r="I287" s="56" t="s">
        <v>644</v>
      </c>
      <c r="J287" s="56"/>
    </row>
    <row r="288" ht="20" customHeight="1" spans="1:10">
      <c r="A288" s="55">
        <v>45565</v>
      </c>
      <c r="B288" s="56">
        <v>1</v>
      </c>
      <c r="C288" s="56" t="s">
        <v>109</v>
      </c>
      <c r="D288" s="56" t="s">
        <v>110</v>
      </c>
      <c r="E288" s="57">
        <v>149</v>
      </c>
      <c r="F288" s="56" t="s">
        <v>111</v>
      </c>
      <c r="G288" s="4" t="s">
        <v>15</v>
      </c>
      <c r="H288" s="56" t="s">
        <v>647</v>
      </c>
      <c r="I288" s="56" t="s">
        <v>648</v>
      </c>
      <c r="J288" s="56"/>
    </row>
    <row r="289" ht="20" customHeight="1" spans="1:10">
      <c r="A289" s="55">
        <v>45565</v>
      </c>
      <c r="B289" s="56">
        <v>2</v>
      </c>
      <c r="C289" s="56" t="s">
        <v>114</v>
      </c>
      <c r="D289" s="56" t="s">
        <v>115</v>
      </c>
      <c r="E289" s="57">
        <v>14.11</v>
      </c>
      <c r="F289" s="56" t="s">
        <v>116</v>
      </c>
      <c r="G289" s="4" t="s">
        <v>15</v>
      </c>
      <c r="H289" s="56" t="s">
        <v>649</v>
      </c>
      <c r="I289" s="56" t="s">
        <v>648</v>
      </c>
      <c r="J289" s="56"/>
    </row>
    <row r="290" ht="20" customHeight="1" spans="1:10">
      <c r="A290" s="55">
        <v>45596</v>
      </c>
      <c r="B290" s="56">
        <v>1</v>
      </c>
      <c r="C290" s="56" t="s">
        <v>109</v>
      </c>
      <c r="D290" s="56" t="s">
        <v>110</v>
      </c>
      <c r="E290" s="57">
        <v>149</v>
      </c>
      <c r="F290" s="56" t="s">
        <v>111</v>
      </c>
      <c r="G290" s="4" t="s">
        <v>15</v>
      </c>
      <c r="H290" s="56" t="s">
        <v>650</v>
      </c>
      <c r="I290" s="56" t="s">
        <v>651</v>
      </c>
      <c r="J290" s="56"/>
    </row>
    <row r="291" ht="20" customHeight="1" spans="1:10">
      <c r="A291" s="55">
        <v>45596</v>
      </c>
      <c r="B291" s="56">
        <v>2</v>
      </c>
      <c r="C291" s="56" t="s">
        <v>114</v>
      </c>
      <c r="D291" s="56" t="s">
        <v>115</v>
      </c>
      <c r="E291" s="57">
        <v>14.99</v>
      </c>
      <c r="F291" s="56" t="s">
        <v>116</v>
      </c>
      <c r="G291" s="4" t="s">
        <v>15</v>
      </c>
      <c r="H291" s="56" t="s">
        <v>652</v>
      </c>
      <c r="I291" s="56" t="s">
        <v>651</v>
      </c>
      <c r="J291" s="56"/>
    </row>
    <row r="292" ht="20" customHeight="1" spans="1:10">
      <c r="A292" s="55">
        <v>45626</v>
      </c>
      <c r="B292" s="56">
        <v>1</v>
      </c>
      <c r="C292" s="56" t="s">
        <v>109</v>
      </c>
      <c r="D292" s="56" t="s">
        <v>110</v>
      </c>
      <c r="E292" s="57">
        <v>149</v>
      </c>
      <c r="F292" s="56" t="s">
        <v>111</v>
      </c>
      <c r="G292" s="4" t="s">
        <v>15</v>
      </c>
      <c r="H292" s="56" t="s">
        <v>653</v>
      </c>
      <c r="I292" s="56" t="s">
        <v>654</v>
      </c>
      <c r="J292" s="56"/>
    </row>
    <row r="293" ht="20" customHeight="1" spans="1:10">
      <c r="A293" s="55">
        <v>45626</v>
      </c>
      <c r="B293" s="56">
        <v>2</v>
      </c>
      <c r="C293" s="56" t="s">
        <v>114</v>
      </c>
      <c r="D293" s="56" t="s">
        <v>115</v>
      </c>
      <c r="E293" s="57">
        <v>14.99</v>
      </c>
      <c r="F293" s="56" t="s">
        <v>116</v>
      </c>
      <c r="G293" s="4" t="s">
        <v>15</v>
      </c>
      <c r="H293" s="56" t="s">
        <v>655</v>
      </c>
      <c r="I293" s="56" t="s">
        <v>654</v>
      </c>
      <c r="J293" s="56"/>
    </row>
    <row r="294" ht="20" customHeight="1" spans="1:10">
      <c r="A294" s="55">
        <v>45626</v>
      </c>
      <c r="B294" s="56">
        <v>3</v>
      </c>
      <c r="C294" s="56" t="s">
        <v>342</v>
      </c>
      <c r="D294" s="56" t="s">
        <v>124</v>
      </c>
      <c r="E294" s="57">
        <v>4</v>
      </c>
      <c r="F294" s="56" t="s">
        <v>125</v>
      </c>
      <c r="G294" s="4"/>
      <c r="H294" s="56"/>
      <c r="I294" s="56" t="s">
        <v>656</v>
      </c>
      <c r="J294" s="56"/>
    </row>
    <row r="295" ht="20" customHeight="1" spans="1:10">
      <c r="A295" s="55">
        <v>45657</v>
      </c>
      <c r="B295" s="56">
        <v>1</v>
      </c>
      <c r="C295" s="56" t="s">
        <v>109</v>
      </c>
      <c r="D295" s="56" t="s">
        <v>110</v>
      </c>
      <c r="E295" s="57">
        <v>149</v>
      </c>
      <c r="F295" s="56" t="s">
        <v>111</v>
      </c>
      <c r="G295" s="4" t="s">
        <v>15</v>
      </c>
      <c r="H295" s="56" t="s">
        <v>657</v>
      </c>
      <c r="I295" s="56" t="s">
        <v>658</v>
      </c>
      <c r="J295" s="56"/>
    </row>
    <row r="296" ht="20" customHeight="1" spans="1:10">
      <c r="A296" s="55">
        <v>45657</v>
      </c>
      <c r="B296" s="56">
        <v>2</v>
      </c>
      <c r="C296" s="56" t="s">
        <v>114</v>
      </c>
      <c r="D296" s="56" t="s">
        <v>115</v>
      </c>
      <c r="E296" s="57">
        <v>14.34</v>
      </c>
      <c r="F296" s="56" t="s">
        <v>116</v>
      </c>
      <c r="G296" s="4" t="s">
        <v>15</v>
      </c>
      <c r="H296" s="56" t="s">
        <v>659</v>
      </c>
      <c r="I296" s="56" t="s">
        <v>658</v>
      </c>
      <c r="J296" s="56"/>
    </row>
    <row r="297" ht="20" customHeight="1" spans="1:10">
      <c r="A297" s="55">
        <v>45657</v>
      </c>
      <c r="B297" s="56">
        <v>3</v>
      </c>
      <c r="C297" s="56" t="s">
        <v>425</v>
      </c>
      <c r="D297" s="56" t="s">
        <v>269</v>
      </c>
      <c r="E297" s="57">
        <v>19</v>
      </c>
      <c r="F297" s="56"/>
      <c r="G297" s="56"/>
      <c r="H297" s="56"/>
      <c r="I297" s="56" t="s">
        <v>658</v>
      </c>
      <c r="J297" s="56"/>
    </row>
    <row r="298" ht="20" customHeight="1" spans="1:10">
      <c r="A298" s="55">
        <v>45688</v>
      </c>
      <c r="B298" s="56">
        <v>1</v>
      </c>
      <c r="C298" s="56" t="s">
        <v>109</v>
      </c>
      <c r="D298" s="56" t="s">
        <v>110</v>
      </c>
      <c r="E298" s="57">
        <v>149</v>
      </c>
      <c r="F298" s="56" t="s">
        <v>111</v>
      </c>
      <c r="G298" s="4" t="s">
        <v>15</v>
      </c>
      <c r="H298" s="56" t="s">
        <v>660</v>
      </c>
      <c r="I298" s="56" t="s">
        <v>661</v>
      </c>
      <c r="J298" s="56"/>
    </row>
    <row r="299" ht="20" customHeight="1" spans="1:10">
      <c r="A299" s="55">
        <v>45688</v>
      </c>
      <c r="B299" s="56">
        <v>2</v>
      </c>
      <c r="C299" s="56" t="s">
        <v>114</v>
      </c>
      <c r="D299" s="56" t="s">
        <v>115</v>
      </c>
      <c r="E299" s="57">
        <v>14.32</v>
      </c>
      <c r="F299" s="56" t="s">
        <v>116</v>
      </c>
      <c r="G299" s="4" t="s">
        <v>15</v>
      </c>
      <c r="H299" s="56" t="s">
        <v>662</v>
      </c>
      <c r="I299" s="56" t="s">
        <v>661</v>
      </c>
      <c r="J299" s="56"/>
    </row>
    <row r="300" ht="20" customHeight="1" spans="1:10">
      <c r="A300" s="55">
        <v>45716</v>
      </c>
      <c r="B300" s="56">
        <v>1</v>
      </c>
      <c r="C300" s="56" t="s">
        <v>109</v>
      </c>
      <c r="D300" s="56" t="s">
        <v>110</v>
      </c>
      <c r="E300" s="57">
        <v>149</v>
      </c>
      <c r="F300" s="56" t="s">
        <v>111</v>
      </c>
      <c r="G300" s="4" t="s">
        <v>15</v>
      </c>
      <c r="H300" s="56" t="s">
        <v>663</v>
      </c>
      <c r="I300" s="56" t="s">
        <v>664</v>
      </c>
      <c r="J300" s="56"/>
    </row>
    <row r="301" ht="20" customHeight="1" spans="1:10">
      <c r="A301" s="55">
        <v>45716</v>
      </c>
      <c r="B301" s="56">
        <v>2</v>
      </c>
      <c r="C301" s="56" t="s">
        <v>114</v>
      </c>
      <c r="D301" s="56" t="s">
        <v>115</v>
      </c>
      <c r="E301" s="57">
        <v>14.32</v>
      </c>
      <c r="F301" s="56" t="s">
        <v>116</v>
      </c>
      <c r="G301" s="4" t="s">
        <v>15</v>
      </c>
      <c r="H301" s="56" t="s">
        <v>665</v>
      </c>
      <c r="I301" s="56" t="s">
        <v>664</v>
      </c>
      <c r="J301" s="56"/>
    </row>
    <row r="302" ht="20" customHeight="1" spans="1:10">
      <c r="A302" s="55">
        <v>45716</v>
      </c>
      <c r="B302" s="56">
        <v>5</v>
      </c>
      <c r="C302" s="56" t="s">
        <v>342</v>
      </c>
      <c r="D302" s="56" t="s">
        <v>124</v>
      </c>
      <c r="E302" s="57">
        <v>8</v>
      </c>
      <c r="F302" s="56" t="s">
        <v>125</v>
      </c>
      <c r="G302" s="56"/>
      <c r="H302" s="56"/>
      <c r="I302" s="56" t="s">
        <v>666</v>
      </c>
      <c r="J302" s="56"/>
    </row>
    <row r="303" ht="20" customHeight="1" spans="1:10">
      <c r="A303" s="55">
        <v>45747</v>
      </c>
      <c r="B303" s="56">
        <v>1</v>
      </c>
      <c r="C303" s="56" t="s">
        <v>109</v>
      </c>
      <c r="D303" s="56" t="s">
        <v>110</v>
      </c>
      <c r="E303" s="57">
        <v>149</v>
      </c>
      <c r="F303" s="56" t="s">
        <v>111</v>
      </c>
      <c r="G303" s="4" t="s">
        <v>15</v>
      </c>
      <c r="H303" s="56" t="s">
        <v>667</v>
      </c>
      <c r="I303" s="56" t="s">
        <v>668</v>
      </c>
      <c r="J303" s="56"/>
    </row>
    <row r="304" ht="20" customHeight="1" spans="1:10">
      <c r="A304" s="55">
        <v>45747</v>
      </c>
      <c r="B304" s="56">
        <v>2</v>
      </c>
      <c r="C304" s="56" t="s">
        <v>114</v>
      </c>
      <c r="D304" s="56" t="s">
        <v>115</v>
      </c>
      <c r="E304" s="57">
        <v>12.52</v>
      </c>
      <c r="F304" s="56" t="s">
        <v>116</v>
      </c>
      <c r="G304" s="4" t="s">
        <v>15</v>
      </c>
      <c r="H304" s="56" t="s">
        <v>669</v>
      </c>
      <c r="I304" s="56" t="s">
        <v>668</v>
      </c>
      <c r="J304" s="56"/>
    </row>
    <row r="305" ht="20" customHeight="1" spans="1:10">
      <c r="A305" s="55">
        <v>45747</v>
      </c>
      <c r="B305" s="56">
        <v>5</v>
      </c>
      <c r="C305" s="56" t="s">
        <v>670</v>
      </c>
      <c r="D305" s="56" t="s">
        <v>312</v>
      </c>
      <c r="E305" s="57">
        <v>21</v>
      </c>
      <c r="F305" s="56" t="s">
        <v>671</v>
      </c>
      <c r="G305" s="56"/>
      <c r="H305" s="56"/>
      <c r="I305" s="56" t="s">
        <v>668</v>
      </c>
      <c r="J305" s="56"/>
    </row>
    <row r="306" ht="20" customHeight="1" spans="2:10">
      <c r="B306" s="56"/>
      <c r="C306" s="56"/>
      <c r="D306" s="56" t="s">
        <v>578</v>
      </c>
      <c r="E306" s="57">
        <v>99.5</v>
      </c>
      <c r="F306" s="56" t="s">
        <v>579</v>
      </c>
      <c r="G306" s="4" t="s">
        <v>15</v>
      </c>
      <c r="H306" s="56" t="s">
        <v>672</v>
      </c>
      <c r="I306" s="56" t="s">
        <v>673</v>
      </c>
      <c r="J306" s="56"/>
    </row>
    <row r="307" ht="20" customHeight="1" spans="1:10">
      <c r="A307" s="55">
        <v>45777</v>
      </c>
      <c r="B307" s="56">
        <v>1</v>
      </c>
      <c r="C307" s="56" t="s">
        <v>109</v>
      </c>
      <c r="D307" s="56" t="s">
        <v>110</v>
      </c>
      <c r="E307" s="57">
        <v>149</v>
      </c>
      <c r="F307" s="56" t="s">
        <v>111</v>
      </c>
      <c r="G307" s="4" t="s">
        <v>15</v>
      </c>
      <c r="H307" s="56" t="s">
        <v>674</v>
      </c>
      <c r="I307" s="56" t="s">
        <v>675</v>
      </c>
      <c r="J307" s="56"/>
    </row>
    <row r="308" ht="20" customHeight="1" spans="1:10">
      <c r="A308" s="55">
        <v>45777</v>
      </c>
      <c r="B308" s="56">
        <v>2</v>
      </c>
      <c r="C308" s="56" t="s">
        <v>114</v>
      </c>
      <c r="D308" s="56" t="s">
        <v>115</v>
      </c>
      <c r="E308" s="57">
        <v>14.76</v>
      </c>
      <c r="F308" s="56" t="s">
        <v>116</v>
      </c>
      <c r="G308" s="4" t="s">
        <v>15</v>
      </c>
      <c r="H308" s="56" t="s">
        <v>676</v>
      </c>
      <c r="I308" s="56" t="s">
        <v>675</v>
      </c>
      <c r="J308" s="56"/>
    </row>
    <row r="309" ht="20" customHeight="1" spans="1:10">
      <c r="A309" s="55">
        <v>45777</v>
      </c>
      <c r="B309" s="56">
        <v>3</v>
      </c>
      <c r="C309" s="56" t="s">
        <v>677</v>
      </c>
      <c r="D309" s="56" t="s">
        <v>329</v>
      </c>
      <c r="E309" s="57">
        <v>40</v>
      </c>
      <c r="F309" s="56" t="s">
        <v>678</v>
      </c>
      <c r="G309" s="56" t="s">
        <v>130</v>
      </c>
      <c r="H309" s="56" t="s">
        <v>679</v>
      </c>
      <c r="I309" s="56" t="s">
        <v>680</v>
      </c>
      <c r="J309" s="56"/>
    </row>
    <row r="310" ht="20" customHeight="1" spans="1:10">
      <c r="A310" s="55">
        <v>45808</v>
      </c>
      <c r="B310" s="56">
        <v>1</v>
      </c>
      <c r="C310" s="56" t="s">
        <v>109</v>
      </c>
      <c r="D310" s="56" t="s">
        <v>110</v>
      </c>
      <c r="E310" s="57">
        <v>149</v>
      </c>
      <c r="F310" s="56" t="s">
        <v>111</v>
      </c>
      <c r="G310" s="4" t="s">
        <v>15</v>
      </c>
      <c r="H310" s="56" t="s">
        <v>681</v>
      </c>
      <c r="I310" s="56" t="s">
        <v>682</v>
      </c>
      <c r="J310" s="56"/>
    </row>
    <row r="311" ht="20" customHeight="1" spans="1:10">
      <c r="A311" s="55">
        <v>45808</v>
      </c>
      <c r="B311" s="56">
        <v>2</v>
      </c>
      <c r="C311" s="56" t="s">
        <v>114</v>
      </c>
      <c r="D311" s="56" t="s">
        <v>115</v>
      </c>
      <c r="E311" s="57">
        <v>14.17</v>
      </c>
      <c r="F311" s="56" t="s">
        <v>116</v>
      </c>
      <c r="G311" s="4" t="s">
        <v>15</v>
      </c>
      <c r="H311" s="56" t="s">
        <v>683</v>
      </c>
      <c r="I311" s="56" t="s">
        <v>684</v>
      </c>
      <c r="J311" s="56"/>
    </row>
    <row r="312" ht="20" customHeight="1" spans="1:10">
      <c r="A312" s="55">
        <v>45808</v>
      </c>
      <c r="B312" s="56">
        <v>3</v>
      </c>
      <c r="C312" s="56" t="s">
        <v>342</v>
      </c>
      <c r="D312" s="56" t="s">
        <v>124</v>
      </c>
      <c r="E312" s="57">
        <v>8</v>
      </c>
      <c r="F312" s="56" t="s">
        <v>125</v>
      </c>
      <c r="G312" s="56"/>
      <c r="H312" s="56"/>
      <c r="I312" s="56" t="s">
        <v>685</v>
      </c>
      <c r="J312" s="56"/>
    </row>
    <row r="313" ht="20" customHeight="1" spans="1:10">
      <c r="A313" s="55">
        <v>45838</v>
      </c>
      <c r="B313" s="56">
        <v>1</v>
      </c>
      <c r="C313" s="56" t="s">
        <v>109</v>
      </c>
      <c r="D313" s="56" t="s">
        <v>110</v>
      </c>
      <c r="E313" s="57">
        <v>149</v>
      </c>
      <c r="F313" s="56" t="s">
        <v>111</v>
      </c>
      <c r="G313" s="4" t="s">
        <v>15</v>
      </c>
      <c r="H313" s="56" t="s">
        <v>686</v>
      </c>
      <c r="I313" s="56" t="s">
        <v>687</v>
      </c>
      <c r="J313" s="56"/>
    </row>
    <row r="314" ht="20" customHeight="1" spans="1:10">
      <c r="A314" s="55">
        <v>45838</v>
      </c>
      <c r="B314" s="56">
        <v>2</v>
      </c>
      <c r="C314" s="56" t="s">
        <v>114</v>
      </c>
      <c r="D314" s="56" t="s">
        <v>115</v>
      </c>
      <c r="E314" s="57">
        <v>14.17</v>
      </c>
      <c r="F314" s="56" t="s">
        <v>116</v>
      </c>
      <c r="G314" s="4" t="s">
        <v>15</v>
      </c>
      <c r="H314" s="56" t="s">
        <v>688</v>
      </c>
      <c r="I314" s="56" t="s">
        <v>687</v>
      </c>
      <c r="J314" s="56"/>
    </row>
    <row r="315" ht="20" customHeight="1" spans="1:10">
      <c r="A315" s="55">
        <v>45868</v>
      </c>
      <c r="B315" s="56">
        <v>1</v>
      </c>
      <c r="C315" s="56" t="s">
        <v>109</v>
      </c>
      <c r="D315" s="56" t="s">
        <v>110</v>
      </c>
      <c r="E315" s="57">
        <v>149</v>
      </c>
      <c r="F315" s="56" t="s">
        <v>111</v>
      </c>
      <c r="G315" s="4" t="s">
        <v>15</v>
      </c>
      <c r="H315" s="56" t="s">
        <v>689</v>
      </c>
      <c r="I315" s="56" t="s">
        <v>690</v>
      </c>
      <c r="J315" s="56"/>
    </row>
    <row r="316" ht="20" customHeight="1" spans="1:10">
      <c r="A316" s="55">
        <v>45868</v>
      </c>
      <c r="B316" s="56">
        <v>2</v>
      </c>
      <c r="C316" s="56" t="s">
        <v>114</v>
      </c>
      <c r="D316" s="56" t="s">
        <v>115</v>
      </c>
      <c r="E316" s="57">
        <v>14.17</v>
      </c>
      <c r="F316" s="56" t="s">
        <v>116</v>
      </c>
      <c r="G316" s="4" t="s">
        <v>15</v>
      </c>
      <c r="H316" s="56" t="s">
        <v>691</v>
      </c>
      <c r="I316" s="56" t="s">
        <v>690</v>
      </c>
      <c r="J316" s="56"/>
    </row>
    <row r="317" ht="20" customHeight="1" spans="1:10">
      <c r="A317" s="55">
        <v>45868</v>
      </c>
      <c r="B317" s="56">
        <v>3</v>
      </c>
      <c r="C317" s="56" t="s">
        <v>342</v>
      </c>
      <c r="D317" s="56" t="s">
        <v>269</v>
      </c>
      <c r="E317" s="57">
        <v>72</v>
      </c>
      <c r="F317" s="56" t="s">
        <v>125</v>
      </c>
      <c r="G317" s="56"/>
      <c r="H317" s="56"/>
      <c r="I317" s="56" t="s">
        <v>692</v>
      </c>
      <c r="J317" s="56"/>
    </row>
    <row r="318" ht="20" customHeight="1" spans="1:10">
      <c r="A318" s="55">
        <v>45900</v>
      </c>
      <c r="B318" s="56">
        <v>1</v>
      </c>
      <c r="C318" s="56" t="s">
        <v>109</v>
      </c>
      <c r="D318" s="56" t="s">
        <v>110</v>
      </c>
      <c r="E318" s="57">
        <v>149</v>
      </c>
      <c r="F318" s="56" t="s">
        <v>111</v>
      </c>
      <c r="G318" s="4" t="s">
        <v>15</v>
      </c>
      <c r="H318" s="56" t="s">
        <v>693</v>
      </c>
      <c r="I318" s="56" t="s">
        <v>694</v>
      </c>
      <c r="J318" s="56"/>
    </row>
    <row r="319" ht="20" customHeight="1" spans="1:10">
      <c r="A319" s="55">
        <v>45900</v>
      </c>
      <c r="B319" s="56">
        <v>2</v>
      </c>
      <c r="C319" s="56" t="s">
        <v>114</v>
      </c>
      <c r="D319" s="56" t="s">
        <v>115</v>
      </c>
      <c r="E319" s="57">
        <v>14.76</v>
      </c>
      <c r="F319" s="56" t="s">
        <v>116</v>
      </c>
      <c r="G319" s="4" t="s">
        <v>15</v>
      </c>
      <c r="H319" s="56" t="s">
        <v>695</v>
      </c>
      <c r="I319" s="56" t="s">
        <v>694</v>
      </c>
      <c r="J319" s="56"/>
    </row>
    <row r="320" ht="20" customHeight="1" spans="1:10">
      <c r="A320" s="55">
        <v>45930</v>
      </c>
      <c r="B320" s="56">
        <v>1</v>
      </c>
      <c r="C320" s="56" t="s">
        <v>109</v>
      </c>
      <c r="D320" s="56" t="s">
        <v>110</v>
      </c>
      <c r="E320" s="57">
        <v>149</v>
      </c>
      <c r="F320" s="56" t="s">
        <v>111</v>
      </c>
      <c r="G320" s="4" t="s">
        <v>15</v>
      </c>
      <c r="H320" s="56" t="s">
        <v>696</v>
      </c>
      <c r="I320" s="56" t="s">
        <v>697</v>
      </c>
      <c r="J320" s="56"/>
    </row>
    <row r="321" ht="20" customHeight="1" spans="1:10">
      <c r="A321" s="55">
        <v>45930</v>
      </c>
      <c r="B321" s="56">
        <v>2</v>
      </c>
      <c r="C321" s="56" t="s">
        <v>114</v>
      </c>
      <c r="D321" s="56" t="s">
        <v>115</v>
      </c>
      <c r="E321" s="57">
        <v>14.73</v>
      </c>
      <c r="F321" s="56" t="s">
        <v>116</v>
      </c>
      <c r="G321" s="4" t="s">
        <v>15</v>
      </c>
      <c r="H321" s="56" t="s">
        <v>698</v>
      </c>
      <c r="I321" s="56" t="s">
        <v>699</v>
      </c>
      <c r="J321" s="56"/>
    </row>
    <row r="322" ht="20" customHeight="1" spans="1:10">
      <c r="A322" s="55">
        <v>45961</v>
      </c>
      <c r="B322" s="56">
        <v>1</v>
      </c>
      <c r="C322" s="56" t="s">
        <v>109</v>
      </c>
      <c r="D322" s="56" t="s">
        <v>110</v>
      </c>
      <c r="E322" s="57">
        <v>149</v>
      </c>
      <c r="F322" s="56" t="s">
        <v>111</v>
      </c>
      <c r="G322" s="4" t="s">
        <v>15</v>
      </c>
      <c r="H322" s="56" t="s">
        <v>700</v>
      </c>
      <c r="I322" s="56" t="s">
        <v>701</v>
      </c>
      <c r="J322" s="56"/>
    </row>
    <row r="323" ht="20" customHeight="1" spans="1:10">
      <c r="A323" s="55">
        <v>45961</v>
      </c>
      <c r="B323" s="56">
        <v>2</v>
      </c>
      <c r="C323" s="56" t="s">
        <v>114</v>
      </c>
      <c r="D323" s="56" t="s">
        <v>115</v>
      </c>
      <c r="E323" s="57">
        <v>13.9</v>
      </c>
      <c r="F323" s="56" t="s">
        <v>116</v>
      </c>
      <c r="G323" s="4" t="s">
        <v>15</v>
      </c>
      <c r="H323" s="56" t="s">
        <v>702</v>
      </c>
      <c r="I323" s="56" t="s">
        <v>701</v>
      </c>
      <c r="J323" s="56"/>
    </row>
    <row r="324" ht="20" customHeight="1" spans="1:10">
      <c r="A324" s="55">
        <v>45961</v>
      </c>
      <c r="B324" s="56">
        <v>3</v>
      </c>
      <c r="C324" s="56" t="s">
        <v>703</v>
      </c>
      <c r="D324" s="56" t="s">
        <v>269</v>
      </c>
      <c r="E324" s="57">
        <v>51</v>
      </c>
      <c r="F324" s="56"/>
      <c r="G324" s="56"/>
      <c r="H324" s="58"/>
      <c r="I324" s="58" t="s">
        <v>704</v>
      </c>
      <c r="J324" s="56"/>
    </row>
    <row r="325" ht="20" customHeight="1" spans="1:10">
      <c r="A325" s="55"/>
      <c r="B325" s="56"/>
      <c r="C325" s="56"/>
      <c r="D325" s="56" t="s">
        <v>124</v>
      </c>
      <c r="E325" s="57">
        <v>14</v>
      </c>
      <c r="F325" s="56"/>
      <c r="G325" s="56"/>
      <c r="H325" s="59"/>
      <c r="I325" s="59"/>
      <c r="J325" s="56"/>
    </row>
    <row r="326" ht="20" customHeight="1" spans="1:10">
      <c r="A326" s="55"/>
      <c r="B326" s="56"/>
      <c r="C326" s="56"/>
      <c r="D326" s="56" t="s">
        <v>163</v>
      </c>
      <c r="E326" s="57">
        <v>260</v>
      </c>
      <c r="F326" s="56" t="s">
        <v>705</v>
      </c>
      <c r="G326" s="56" t="s">
        <v>134</v>
      </c>
      <c r="H326" s="56"/>
      <c r="I326" s="56" t="s">
        <v>706</v>
      </c>
      <c r="J326" s="56"/>
    </row>
    <row r="327" ht="20" customHeight="1" spans="1:10">
      <c r="A327" s="55">
        <v>45961</v>
      </c>
      <c r="B327" s="56">
        <v>4</v>
      </c>
      <c r="C327" s="56" t="s">
        <v>707</v>
      </c>
      <c r="D327" s="56" t="s">
        <v>708</v>
      </c>
      <c r="E327" s="57">
        <v>42</v>
      </c>
      <c r="F327" s="56" t="s">
        <v>709</v>
      </c>
      <c r="G327" s="4" t="s">
        <v>15</v>
      </c>
      <c r="H327" s="56" t="s">
        <v>710</v>
      </c>
      <c r="I327" s="56" t="s">
        <v>706</v>
      </c>
      <c r="J327" s="56"/>
    </row>
    <row r="328" ht="20" customHeight="1" spans="1:10">
      <c r="A328" s="55">
        <v>45991</v>
      </c>
      <c r="B328" s="56">
        <v>1</v>
      </c>
      <c r="C328" s="56" t="s">
        <v>109</v>
      </c>
      <c r="D328" s="56" t="s">
        <v>110</v>
      </c>
      <c r="E328" s="57">
        <v>149</v>
      </c>
      <c r="F328" s="56" t="s">
        <v>111</v>
      </c>
      <c r="G328" s="4" t="s">
        <v>15</v>
      </c>
      <c r="H328" s="56" t="s">
        <v>711</v>
      </c>
      <c r="I328" s="56" t="s">
        <v>712</v>
      </c>
      <c r="J328" s="56"/>
    </row>
    <row r="329" ht="20" customHeight="1" spans="1:10">
      <c r="A329" s="55">
        <v>45991</v>
      </c>
      <c r="B329" s="56">
        <v>2</v>
      </c>
      <c r="C329" s="56" t="s">
        <v>114</v>
      </c>
      <c r="D329" s="56" t="s">
        <v>115</v>
      </c>
      <c r="E329" s="57">
        <v>17.02</v>
      </c>
      <c r="F329" s="56" t="s">
        <v>116</v>
      </c>
      <c r="G329" s="4" t="s">
        <v>15</v>
      </c>
      <c r="H329" s="56" t="s">
        <v>713</v>
      </c>
      <c r="I329" s="56" t="s">
        <v>712</v>
      </c>
      <c r="J329" s="56"/>
    </row>
    <row r="330" ht="20" customHeight="1" spans="1:10">
      <c r="A330" s="55">
        <v>45991</v>
      </c>
      <c r="B330" s="56">
        <v>3</v>
      </c>
      <c r="C330" s="56" t="s">
        <v>714</v>
      </c>
      <c r="D330" s="56" t="s">
        <v>269</v>
      </c>
      <c r="E330" s="57">
        <v>28</v>
      </c>
      <c r="F330" s="56" t="s">
        <v>205</v>
      </c>
      <c r="G330" s="56"/>
      <c r="H330" s="56"/>
      <c r="I330" s="56" t="s">
        <v>715</v>
      </c>
      <c r="J330" s="56"/>
    </row>
    <row r="331" ht="20" customHeight="1" spans="1:10">
      <c r="A331" s="55"/>
      <c r="B331" s="56"/>
      <c r="C331" s="56"/>
      <c r="D331" s="56" t="s">
        <v>312</v>
      </c>
      <c r="E331" s="57">
        <v>21</v>
      </c>
      <c r="F331" s="56" t="s">
        <v>671</v>
      </c>
      <c r="G331" s="56" t="s">
        <v>716</v>
      </c>
      <c r="H331" s="56"/>
      <c r="I331" s="56" t="s">
        <v>717</v>
      </c>
      <c r="J331" s="56"/>
    </row>
    <row r="332" ht="20" customHeight="1" spans="1:10">
      <c r="A332" s="55"/>
      <c r="B332" s="56"/>
      <c r="C332" s="56"/>
      <c r="D332" s="56" t="s">
        <v>718</v>
      </c>
      <c r="E332" s="57">
        <v>25</v>
      </c>
      <c r="F332" s="56" t="s">
        <v>719</v>
      </c>
      <c r="G332" s="56"/>
      <c r="H332" s="56" t="s">
        <v>720</v>
      </c>
      <c r="I332" s="56" t="s">
        <v>721</v>
      </c>
      <c r="J332" s="56"/>
    </row>
    <row r="333" ht="20" customHeight="1" spans="1:10">
      <c r="A333" s="55"/>
      <c r="B333" s="56"/>
      <c r="C333" s="56"/>
      <c r="D333" s="56" t="s">
        <v>551</v>
      </c>
      <c r="E333" s="57">
        <v>6</v>
      </c>
      <c r="F333" s="56" t="s">
        <v>184</v>
      </c>
      <c r="G333" s="56"/>
      <c r="H333" s="56" t="s">
        <v>722</v>
      </c>
      <c r="I333" s="56" t="s">
        <v>717</v>
      </c>
      <c r="J333" s="56"/>
    </row>
    <row r="334" ht="20" customHeight="1" spans="1:10">
      <c r="A334" s="55">
        <v>45991</v>
      </c>
      <c r="B334" s="56">
        <v>7</v>
      </c>
      <c r="C334" s="56" t="s">
        <v>723</v>
      </c>
      <c r="D334" s="52" t="s">
        <v>269</v>
      </c>
      <c r="E334" s="57">
        <v>26</v>
      </c>
      <c r="F334" s="56"/>
      <c r="G334" s="56"/>
      <c r="H334" s="56"/>
      <c r="I334" s="58" t="s">
        <v>724</v>
      </c>
      <c r="J334" s="56"/>
    </row>
    <row r="335" ht="20" customHeight="1" spans="1:10">
      <c r="A335" s="55"/>
      <c r="B335" s="56"/>
      <c r="C335" s="56"/>
      <c r="D335" s="56" t="s">
        <v>124</v>
      </c>
      <c r="E335" s="57">
        <v>4</v>
      </c>
      <c r="F335" s="56"/>
      <c r="G335" s="56"/>
      <c r="H335" s="56"/>
      <c r="I335" s="59"/>
      <c r="J335" s="56"/>
    </row>
    <row r="336" ht="20" customHeight="1" spans="1:10">
      <c r="A336" s="55"/>
      <c r="B336" s="56"/>
      <c r="C336" s="56"/>
      <c r="D336" s="56" t="s">
        <v>329</v>
      </c>
      <c r="E336" s="57">
        <v>280</v>
      </c>
      <c r="F336" s="56" t="s">
        <v>492</v>
      </c>
      <c r="G336" s="4" t="s">
        <v>15</v>
      </c>
      <c r="H336" s="56" t="s">
        <v>725</v>
      </c>
      <c r="I336" s="56" t="s">
        <v>726</v>
      </c>
      <c r="J336" s="56"/>
    </row>
    <row r="337" ht="20" customHeight="1" spans="1:10">
      <c r="A337" s="55">
        <v>46022</v>
      </c>
      <c r="B337" s="56">
        <v>1</v>
      </c>
      <c r="C337" s="56" t="s">
        <v>109</v>
      </c>
      <c r="D337" s="56" t="s">
        <v>110</v>
      </c>
      <c r="E337" s="57">
        <v>149</v>
      </c>
      <c r="F337" s="56" t="s">
        <v>111</v>
      </c>
      <c r="G337" s="4" t="s">
        <v>15</v>
      </c>
      <c r="H337" s="56" t="s">
        <v>727</v>
      </c>
      <c r="I337" s="56" t="s">
        <v>728</v>
      </c>
      <c r="J337" s="56"/>
    </row>
    <row r="338" ht="20" customHeight="1" spans="1:10">
      <c r="A338" s="55">
        <v>46022</v>
      </c>
      <c r="B338" s="56">
        <v>2</v>
      </c>
      <c r="C338" s="56" t="s">
        <v>114</v>
      </c>
      <c r="D338" s="56" t="s">
        <v>115</v>
      </c>
      <c r="E338" s="57">
        <v>21.37</v>
      </c>
      <c r="F338" s="56" t="s">
        <v>116</v>
      </c>
      <c r="G338" s="4" t="s">
        <v>15</v>
      </c>
      <c r="H338" s="67" t="s">
        <v>729</v>
      </c>
      <c r="I338" s="56" t="s">
        <v>730</v>
      </c>
      <c r="J338" s="56"/>
    </row>
    <row r="339" ht="20" customHeight="1" spans="1:10">
      <c r="A339" s="55">
        <v>46022</v>
      </c>
      <c r="B339" s="56">
        <v>5</v>
      </c>
      <c r="C339" s="56" t="s">
        <v>302</v>
      </c>
      <c r="D339" s="56" t="s">
        <v>731</v>
      </c>
      <c r="E339" s="57">
        <v>8</v>
      </c>
      <c r="F339" s="56" t="s">
        <v>732</v>
      </c>
      <c r="G339" s="4" t="s">
        <v>15</v>
      </c>
      <c r="H339" s="56" t="s">
        <v>733</v>
      </c>
      <c r="I339" s="56" t="s">
        <v>734</v>
      </c>
      <c r="J339" s="56"/>
    </row>
    <row r="340" ht="20" customHeight="1" spans="1:10">
      <c r="A340" s="55"/>
      <c r="B340" s="56"/>
      <c r="C340" s="56"/>
      <c r="D340" s="56"/>
      <c r="E340" s="57"/>
      <c r="F340" s="56"/>
      <c r="G340" s="56"/>
      <c r="H340" s="56"/>
      <c r="I340" s="56"/>
      <c r="J340" s="56"/>
    </row>
    <row r="341" ht="20" customHeight="1" spans="1:10">
      <c r="A341" s="55">
        <v>46053</v>
      </c>
      <c r="B341" s="56">
        <v>1</v>
      </c>
      <c r="C341" s="56" t="s">
        <v>109</v>
      </c>
      <c r="D341" s="56" t="s">
        <v>110</v>
      </c>
      <c r="E341" s="57">
        <v>149</v>
      </c>
      <c r="F341" s="56" t="s">
        <v>735</v>
      </c>
      <c r="G341" s="4" t="s">
        <v>15</v>
      </c>
      <c r="H341" s="56" t="s">
        <v>736</v>
      </c>
      <c r="I341" s="62" t="s">
        <v>737</v>
      </c>
      <c r="J341" s="56"/>
    </row>
    <row r="342" ht="20" customHeight="1" spans="1:10">
      <c r="A342" s="55">
        <v>46053</v>
      </c>
      <c r="B342" s="56">
        <v>2</v>
      </c>
      <c r="C342" s="56" t="s">
        <v>109</v>
      </c>
      <c r="D342" s="56" t="s">
        <v>110</v>
      </c>
      <c r="E342" s="57">
        <v>13.96</v>
      </c>
      <c r="F342" s="56" t="s">
        <v>735</v>
      </c>
      <c r="G342" s="4" t="s">
        <v>15</v>
      </c>
      <c r="H342" s="56" t="s">
        <v>738</v>
      </c>
      <c r="I342" s="62" t="s">
        <v>737</v>
      </c>
      <c r="J342" s="56"/>
    </row>
    <row r="343" ht="20" customHeight="1" spans="1:10">
      <c r="A343" s="55">
        <v>46053</v>
      </c>
      <c r="B343" s="56">
        <v>3</v>
      </c>
      <c r="C343" s="56" t="s">
        <v>739</v>
      </c>
      <c r="D343" s="56" t="s">
        <v>731</v>
      </c>
      <c r="E343" s="57">
        <v>58</v>
      </c>
      <c r="F343" s="56" t="s">
        <v>735</v>
      </c>
      <c r="G343" s="4" t="s">
        <v>15</v>
      </c>
      <c r="H343" s="56" t="s">
        <v>740</v>
      </c>
      <c r="I343" s="62" t="s">
        <v>741</v>
      </c>
      <c r="J343" s="56"/>
    </row>
    <row r="344" ht="20" customHeight="1" spans="1:10">
      <c r="A344" s="55"/>
      <c r="B344" s="56"/>
      <c r="C344" s="56"/>
      <c r="D344" s="56"/>
      <c r="E344" s="57"/>
      <c r="F344" s="56"/>
      <c r="G344" s="56"/>
      <c r="H344" s="56"/>
      <c r="I344" s="56"/>
      <c r="J344" s="56"/>
    </row>
    <row r="345" spans="1:10">
      <c r="A345" s="55">
        <v>46081</v>
      </c>
      <c r="B345" s="56">
        <v>1</v>
      </c>
      <c r="C345" s="56" t="s">
        <v>216</v>
      </c>
      <c r="D345" s="56" t="s">
        <v>110</v>
      </c>
      <c r="E345" s="57">
        <v>149</v>
      </c>
      <c r="F345" s="56" t="s">
        <v>735</v>
      </c>
      <c r="G345" s="4" t="s">
        <v>15</v>
      </c>
      <c r="H345" s="56" t="s">
        <v>742</v>
      </c>
      <c r="I345" s="56" t="s">
        <v>743</v>
      </c>
      <c r="J345" s="56"/>
    </row>
    <row r="346" spans="1:10">
      <c r="A346" s="55">
        <v>46081</v>
      </c>
      <c r="B346" s="56">
        <v>2</v>
      </c>
      <c r="C346" s="56" t="s">
        <v>114</v>
      </c>
      <c r="D346" s="56" t="s">
        <v>114</v>
      </c>
      <c r="E346" s="57">
        <v>13.84</v>
      </c>
      <c r="F346" s="56" t="s">
        <v>116</v>
      </c>
      <c r="G346" s="4" t="s">
        <v>15</v>
      </c>
      <c r="H346" s="56" t="s">
        <v>744</v>
      </c>
      <c r="I346" s="56" t="s">
        <v>743</v>
      </c>
      <c r="J346" s="56"/>
    </row>
    <row r="347" spans="1:10">
      <c r="A347" s="55"/>
      <c r="B347" s="56"/>
      <c r="C347" s="56"/>
      <c r="D347" s="56"/>
      <c r="E347" s="57"/>
      <c r="F347" s="56"/>
      <c r="G347" s="4"/>
      <c r="H347" s="56"/>
      <c r="I347" s="56"/>
      <c r="J347" s="56"/>
    </row>
    <row r="348" spans="1:10">
      <c r="A348" s="3">
        <v>46112</v>
      </c>
      <c r="B348" s="4">
        <v>1</v>
      </c>
      <c r="C348" s="4" t="s">
        <v>109</v>
      </c>
      <c r="D348" s="56" t="s">
        <v>110</v>
      </c>
      <c r="E348" s="57">
        <v>149</v>
      </c>
      <c r="F348" s="56" t="s">
        <v>111</v>
      </c>
      <c r="G348" s="4" t="s">
        <v>15</v>
      </c>
      <c r="H348" s="56" t="s">
        <v>745</v>
      </c>
      <c r="I348" s="56" t="s">
        <v>746</v>
      </c>
      <c r="J348" s="56"/>
    </row>
    <row r="349" spans="1:10">
      <c r="A349" s="3">
        <v>46112</v>
      </c>
      <c r="B349" s="56">
        <v>2</v>
      </c>
      <c r="C349" s="56" t="s">
        <v>114</v>
      </c>
      <c r="D349" s="56" t="s">
        <v>114</v>
      </c>
      <c r="E349" s="57">
        <v>12.01</v>
      </c>
      <c r="F349" s="56" t="s">
        <v>116</v>
      </c>
      <c r="G349" s="4" t="s">
        <v>15</v>
      </c>
      <c r="H349" s="56" t="s">
        <v>747</v>
      </c>
      <c r="I349" s="56" t="s">
        <v>746</v>
      </c>
      <c r="J349" s="56"/>
    </row>
    <row r="350" spans="1:10">
      <c r="A350" s="3">
        <v>46112</v>
      </c>
      <c r="B350" s="56">
        <v>5</v>
      </c>
      <c r="C350" s="56" t="s">
        <v>748</v>
      </c>
      <c r="D350" s="56" t="s">
        <v>124</v>
      </c>
      <c r="E350" s="57">
        <v>19</v>
      </c>
      <c r="F350" s="56" t="s">
        <v>125</v>
      </c>
      <c r="G350" s="4" t="s">
        <v>15</v>
      </c>
      <c r="H350" s="56" t="s">
        <v>749</v>
      </c>
      <c r="I350" s="56" t="s">
        <v>750</v>
      </c>
      <c r="J350" s="56"/>
    </row>
    <row r="351" spans="1:10">
      <c r="A351" s="55"/>
      <c r="B351" s="56"/>
      <c r="C351" s="56"/>
      <c r="D351" s="56"/>
      <c r="E351" s="57"/>
      <c r="F351" s="56"/>
      <c r="G351" s="56"/>
      <c r="H351" s="56"/>
      <c r="I351" s="56"/>
      <c r="J351" s="56"/>
    </row>
    <row r="352" spans="1:10">
      <c r="A352" s="3">
        <v>46142</v>
      </c>
      <c r="B352" s="56">
        <v>1</v>
      </c>
      <c r="C352" s="4" t="s">
        <v>109</v>
      </c>
      <c r="D352" s="56" t="s">
        <v>110</v>
      </c>
      <c r="E352" s="57">
        <v>149</v>
      </c>
      <c r="F352" s="56" t="s">
        <v>735</v>
      </c>
      <c r="G352" s="4" t="s">
        <v>15</v>
      </c>
      <c r="H352" s="56" t="s">
        <v>751</v>
      </c>
      <c r="I352" s="56" t="s">
        <v>752</v>
      </c>
      <c r="J352" s="56"/>
    </row>
    <row r="353" spans="1:10">
      <c r="A353" s="3">
        <v>46142</v>
      </c>
      <c r="B353" s="56">
        <v>2</v>
      </c>
      <c r="C353" s="56" t="s">
        <v>114</v>
      </c>
      <c r="D353" s="56" t="s">
        <v>115</v>
      </c>
      <c r="E353" s="57">
        <v>14.07</v>
      </c>
      <c r="F353" s="56" t="s">
        <v>116</v>
      </c>
      <c r="G353" s="4" t="s">
        <v>15</v>
      </c>
      <c r="H353" s="56" t="s">
        <v>753</v>
      </c>
      <c r="I353" s="56" t="s">
        <v>752</v>
      </c>
      <c r="J353" s="56"/>
    </row>
    <row r="354" spans="1:10">
      <c r="A354" s="3"/>
      <c r="B354" s="56"/>
      <c r="C354" s="56"/>
      <c r="D354" s="56"/>
      <c r="E354" s="57"/>
      <c r="F354" s="56"/>
      <c r="G354" s="4"/>
      <c r="H354" s="56"/>
      <c r="I354" s="56"/>
      <c r="J354" s="56"/>
    </row>
    <row r="355" spans="1:10">
      <c r="A355" s="55">
        <v>46173</v>
      </c>
      <c r="B355" s="56">
        <v>1</v>
      </c>
      <c r="C355" s="56" t="s">
        <v>216</v>
      </c>
      <c r="D355" s="56" t="s">
        <v>110</v>
      </c>
      <c r="E355" s="57">
        <v>149</v>
      </c>
      <c r="F355" s="56" t="s">
        <v>735</v>
      </c>
      <c r="G355" s="4" t="s">
        <v>15</v>
      </c>
      <c r="H355" s="56" t="s">
        <v>754</v>
      </c>
      <c r="I355" s="56" t="s">
        <v>755</v>
      </c>
      <c r="J355" s="56"/>
    </row>
    <row r="356" spans="1:10">
      <c r="A356" s="3">
        <v>46143</v>
      </c>
      <c r="B356" s="56">
        <v>2</v>
      </c>
      <c r="C356" s="56" t="s">
        <v>114</v>
      </c>
      <c r="D356" s="56" t="s">
        <v>115</v>
      </c>
      <c r="E356" s="57">
        <v>13.71</v>
      </c>
      <c r="F356" s="56" t="s">
        <v>116</v>
      </c>
      <c r="G356" s="4" t="s">
        <v>15</v>
      </c>
      <c r="H356" s="56" t="s">
        <v>756</v>
      </c>
      <c r="I356" s="56" t="s">
        <v>757</v>
      </c>
      <c r="J356" s="56"/>
    </row>
    <row r="357" spans="1:10">
      <c r="A357" s="3"/>
      <c r="B357" s="56"/>
      <c r="C357" s="56"/>
      <c r="D357" s="56"/>
      <c r="E357" s="57"/>
      <c r="F357" s="56"/>
      <c r="G357" s="4"/>
      <c r="H357" s="56"/>
      <c r="I357" s="56"/>
      <c r="J357" s="56"/>
    </row>
    <row r="358" spans="1:10">
      <c r="A358" s="3">
        <v>46203</v>
      </c>
      <c r="B358" s="56">
        <v>1</v>
      </c>
      <c r="C358" s="4" t="s">
        <v>109</v>
      </c>
      <c r="D358" s="56" t="s">
        <v>110</v>
      </c>
      <c r="E358" s="57">
        <v>149</v>
      </c>
      <c r="F358" s="56" t="s">
        <v>735</v>
      </c>
      <c r="G358" s="4" t="s">
        <v>15</v>
      </c>
      <c r="H358" s="56" t="s">
        <v>758</v>
      </c>
      <c r="I358" s="56" t="s">
        <v>757</v>
      </c>
      <c r="J358" s="56"/>
    </row>
    <row r="359" spans="1:10">
      <c r="A359" s="3">
        <v>46203</v>
      </c>
      <c r="B359" s="56">
        <v>2</v>
      </c>
      <c r="C359" s="56" t="s">
        <v>114</v>
      </c>
      <c r="D359" s="56" t="s">
        <v>115</v>
      </c>
      <c r="E359" s="57">
        <v>13.55</v>
      </c>
      <c r="F359" s="56" t="s">
        <v>116</v>
      </c>
      <c r="G359" s="4" t="s">
        <v>15</v>
      </c>
      <c r="H359" s="56" t="s">
        <v>756</v>
      </c>
      <c r="I359" s="56" t="s">
        <v>757</v>
      </c>
      <c r="J359" s="56"/>
    </row>
    <row r="360" spans="1:10">
      <c r="A360" s="3">
        <v>46204</v>
      </c>
      <c r="B360" s="56">
        <v>3</v>
      </c>
      <c r="C360" s="56" t="s">
        <v>759</v>
      </c>
      <c r="D360" s="56" t="s">
        <v>760</v>
      </c>
      <c r="E360" s="57">
        <v>13.9</v>
      </c>
      <c r="F360" s="56" t="s">
        <v>761</v>
      </c>
      <c r="G360" s="4" t="s">
        <v>762</v>
      </c>
      <c r="H360" s="56" t="s">
        <v>763</v>
      </c>
      <c r="I360" s="56" t="s">
        <v>764</v>
      </c>
      <c r="J360" s="56"/>
    </row>
    <row r="361" spans="10:10">
      <c r="J361" s="56"/>
    </row>
    <row r="362" spans="1:10">
      <c r="A362" s="3">
        <v>46234</v>
      </c>
      <c r="B362" s="4">
        <v>1</v>
      </c>
      <c r="C362" s="4" t="s">
        <v>109</v>
      </c>
      <c r="D362" s="56" t="s">
        <v>110</v>
      </c>
      <c r="E362" s="57">
        <v>149</v>
      </c>
      <c r="F362" s="56" t="s">
        <v>111</v>
      </c>
      <c r="G362" s="4" t="s">
        <v>15</v>
      </c>
      <c r="H362" s="56" t="s">
        <v>765</v>
      </c>
      <c r="I362" s="56" t="s">
        <v>766</v>
      </c>
      <c r="J362" s="56"/>
    </row>
    <row r="363" spans="1:10">
      <c r="A363" s="3">
        <v>46203</v>
      </c>
      <c r="B363" s="56">
        <v>2</v>
      </c>
      <c r="C363" s="56" t="s">
        <v>114</v>
      </c>
      <c r="D363" s="56" t="s">
        <v>115</v>
      </c>
      <c r="E363" s="57">
        <v>15.88</v>
      </c>
      <c r="F363" s="56" t="s">
        <v>116</v>
      </c>
      <c r="G363" s="4" t="s">
        <v>15</v>
      </c>
      <c r="H363" s="56" t="s">
        <v>767</v>
      </c>
      <c r="I363" s="56" t="s">
        <v>768</v>
      </c>
      <c r="J363" s="56"/>
    </row>
  </sheetData>
  <mergeCells count="35">
    <mergeCell ref="F15:F16"/>
    <mergeCell ref="F43:F45"/>
    <mergeCell ref="F46:F47"/>
    <mergeCell ref="F69:F71"/>
    <mergeCell ref="G15:G16"/>
    <mergeCell ref="G43:G45"/>
    <mergeCell ref="G46:G47"/>
    <mergeCell ref="G69:G71"/>
    <mergeCell ref="H15:H16"/>
    <mergeCell ref="H43:H45"/>
    <mergeCell ref="H46:H47"/>
    <mergeCell ref="H69:H71"/>
    <mergeCell ref="H324:H325"/>
    <mergeCell ref="I15:I16"/>
    <mergeCell ref="I43:I45"/>
    <mergeCell ref="I46:I47"/>
    <mergeCell ref="I69:I71"/>
    <mergeCell ref="I146:I147"/>
    <mergeCell ref="I160:I161"/>
    <mergeCell ref="I179:I181"/>
    <mergeCell ref="I187:I188"/>
    <mergeCell ref="I213:I214"/>
    <mergeCell ref="I230:I231"/>
    <mergeCell ref="I254:I255"/>
    <mergeCell ref="I267:I268"/>
    <mergeCell ref="I324:I325"/>
    <mergeCell ref="I334:I335"/>
    <mergeCell ref="J15:J16"/>
    <mergeCell ref="J43:J45"/>
    <mergeCell ref="J46:J47"/>
    <mergeCell ref="J69:J71"/>
    <mergeCell ref="J213:J214"/>
    <mergeCell ref="J230:J231"/>
    <mergeCell ref="J254:J255"/>
    <mergeCell ref="J267:J26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workbookViewId="0">
      <selection activeCell="I30" sqref="I30"/>
    </sheetView>
  </sheetViews>
  <sheetFormatPr defaultColWidth="9" defaultRowHeight="14.25"/>
  <cols>
    <col min="1" max="1" width="11.875" style="51" customWidth="1"/>
    <col min="2" max="2" width="9" style="52"/>
    <col min="3" max="3" width="29.75" style="52" customWidth="1"/>
    <col min="4" max="4" width="14.625" style="52" customWidth="1"/>
    <col min="5" max="5" width="13.5" style="53" customWidth="1"/>
    <col min="6" max="6" width="14.25" style="53" customWidth="1"/>
    <col min="7" max="7" width="34.375" style="52" customWidth="1"/>
    <col min="8" max="8" width="15.5" style="52" customWidth="1"/>
    <col min="9" max="9" width="24.375" style="52" customWidth="1"/>
    <col min="10" max="10" width="11.125" style="52" customWidth="1"/>
    <col min="11" max="16384" width="9" style="52"/>
  </cols>
  <sheetData>
    <row r="1" ht="34" customHeight="1"/>
    <row r="2" ht="20" customHeight="1" spans="1:11">
      <c r="A2" s="1" t="s">
        <v>0</v>
      </c>
      <c r="B2" s="2" t="s">
        <v>1</v>
      </c>
      <c r="C2" s="2" t="s">
        <v>108</v>
      </c>
      <c r="D2" s="2" t="s">
        <v>3</v>
      </c>
      <c r="E2" s="54" t="s">
        <v>769</v>
      </c>
      <c r="F2" s="54" t="s">
        <v>770</v>
      </c>
      <c r="G2" s="2" t="s">
        <v>2</v>
      </c>
      <c r="H2" s="2" t="s">
        <v>7</v>
      </c>
      <c r="I2" s="2" t="s">
        <v>8</v>
      </c>
      <c r="J2" s="2" t="s">
        <v>9</v>
      </c>
      <c r="K2" s="2" t="s">
        <v>12</v>
      </c>
    </row>
    <row r="3" ht="20" customHeight="1" spans="1:11">
      <c r="A3" s="55">
        <v>44227</v>
      </c>
      <c r="B3" s="56">
        <v>4</v>
      </c>
      <c r="C3" s="56" t="s">
        <v>771</v>
      </c>
      <c r="D3" s="56" t="s">
        <v>772</v>
      </c>
      <c r="E3" s="57"/>
      <c r="F3" s="57">
        <v>606.86</v>
      </c>
      <c r="G3" s="58" t="s">
        <v>773</v>
      </c>
      <c r="H3" s="58" t="s">
        <v>774</v>
      </c>
      <c r="I3" s="58" t="s">
        <v>775</v>
      </c>
      <c r="J3" s="58" t="s">
        <v>776</v>
      </c>
      <c r="K3" s="58"/>
    </row>
    <row r="4" ht="20" customHeight="1" spans="1:11">
      <c r="A4" s="55"/>
      <c r="B4" s="56"/>
      <c r="C4" s="56"/>
      <c r="D4" s="56" t="s">
        <v>777</v>
      </c>
      <c r="E4" s="57"/>
      <c r="F4" s="57">
        <v>26.2</v>
      </c>
      <c r="G4" s="59"/>
      <c r="H4" s="59"/>
      <c r="I4" s="59"/>
      <c r="J4" s="59"/>
      <c r="K4" s="59"/>
    </row>
    <row r="5" ht="20" customHeight="1" spans="1:11">
      <c r="A5" s="55">
        <v>44255</v>
      </c>
      <c r="B5" s="56">
        <v>5</v>
      </c>
      <c r="C5" s="56" t="s">
        <v>778</v>
      </c>
      <c r="D5" s="56" t="s">
        <v>772</v>
      </c>
      <c r="E5" s="57"/>
      <c r="F5" s="57">
        <v>257.14</v>
      </c>
      <c r="G5" s="56" t="s">
        <v>773</v>
      </c>
      <c r="H5" s="56" t="s">
        <v>774</v>
      </c>
      <c r="I5" s="56" t="s">
        <v>779</v>
      </c>
      <c r="J5" s="56" t="s">
        <v>780</v>
      </c>
      <c r="K5" s="56"/>
    </row>
    <row r="6" ht="20" customHeight="1" spans="1:11">
      <c r="A6" s="55">
        <v>44286</v>
      </c>
      <c r="B6" s="56">
        <v>5</v>
      </c>
      <c r="C6" s="56" t="s">
        <v>781</v>
      </c>
      <c r="D6" s="56" t="s">
        <v>772</v>
      </c>
      <c r="E6" s="57"/>
      <c r="F6" s="57">
        <v>411.43</v>
      </c>
      <c r="G6" s="56" t="s">
        <v>773</v>
      </c>
      <c r="H6" s="56" t="s">
        <v>774</v>
      </c>
      <c r="I6" s="56" t="s">
        <v>782</v>
      </c>
      <c r="J6" s="56" t="s">
        <v>783</v>
      </c>
      <c r="K6" s="56"/>
    </row>
    <row r="7" ht="20" customHeight="1" spans="1:11">
      <c r="A7" s="55">
        <v>44316</v>
      </c>
      <c r="B7" s="56">
        <v>3</v>
      </c>
      <c r="C7" s="56" t="s">
        <v>784</v>
      </c>
      <c r="D7" s="56" t="s">
        <v>772</v>
      </c>
      <c r="E7" s="57"/>
      <c r="F7" s="57">
        <v>514.29</v>
      </c>
      <c r="G7" s="58" t="s">
        <v>773</v>
      </c>
      <c r="H7" s="58" t="s">
        <v>774</v>
      </c>
      <c r="I7" s="58" t="s">
        <v>785</v>
      </c>
      <c r="J7" s="58" t="s">
        <v>786</v>
      </c>
      <c r="K7" s="58"/>
    </row>
    <row r="8" ht="20" customHeight="1" spans="1:11">
      <c r="A8" s="55"/>
      <c r="B8" s="56"/>
      <c r="C8" s="56"/>
      <c r="D8" s="56" t="s">
        <v>777</v>
      </c>
      <c r="E8" s="57"/>
      <c r="F8" s="57">
        <v>10.4</v>
      </c>
      <c r="G8" s="59"/>
      <c r="H8" s="59"/>
      <c r="I8" s="59"/>
      <c r="J8" s="59"/>
      <c r="K8" s="59"/>
    </row>
    <row r="9" ht="20" customHeight="1" spans="1:11">
      <c r="A9" s="55">
        <v>44347</v>
      </c>
      <c r="B9" s="56">
        <v>5</v>
      </c>
      <c r="C9" s="56" t="s">
        <v>787</v>
      </c>
      <c r="D9" s="56" t="s">
        <v>788</v>
      </c>
      <c r="E9" s="57"/>
      <c r="F9" s="57">
        <v>390</v>
      </c>
      <c r="G9" s="56" t="s">
        <v>773</v>
      </c>
      <c r="H9" s="56" t="s">
        <v>774</v>
      </c>
      <c r="I9" s="56" t="s">
        <v>789</v>
      </c>
      <c r="J9" s="56" t="s">
        <v>175</v>
      </c>
      <c r="K9" s="56"/>
    </row>
    <row r="10" ht="20" customHeight="1" spans="1:11">
      <c r="A10" s="55">
        <v>44377</v>
      </c>
      <c r="B10" s="56">
        <v>6</v>
      </c>
      <c r="C10" s="56" t="s">
        <v>790</v>
      </c>
      <c r="D10" s="56" t="s">
        <v>772</v>
      </c>
      <c r="E10" s="57"/>
      <c r="F10" s="57">
        <v>634.29</v>
      </c>
      <c r="G10" s="56" t="s">
        <v>773</v>
      </c>
      <c r="H10" s="56" t="s">
        <v>774</v>
      </c>
      <c r="I10" s="56" t="s">
        <v>791</v>
      </c>
      <c r="J10" s="56" t="s">
        <v>227</v>
      </c>
      <c r="K10" s="56"/>
    </row>
    <row r="11" ht="20" customHeight="1" spans="1:11">
      <c r="A11" s="55">
        <v>44408</v>
      </c>
      <c r="B11" s="56">
        <v>4</v>
      </c>
      <c r="C11" s="56" t="s">
        <v>792</v>
      </c>
      <c r="D11" s="56" t="s">
        <v>772</v>
      </c>
      <c r="E11" s="57"/>
      <c r="F11" s="57">
        <v>795.43</v>
      </c>
      <c r="G11" s="56" t="s">
        <v>773</v>
      </c>
      <c r="H11" s="56" t="s">
        <v>774</v>
      </c>
      <c r="I11" s="58" t="s">
        <v>793</v>
      </c>
      <c r="J11" s="58" t="s">
        <v>794</v>
      </c>
      <c r="K11" s="58"/>
    </row>
    <row r="12" ht="20" customHeight="1" spans="1:11">
      <c r="A12" s="55"/>
      <c r="B12" s="56"/>
      <c r="C12" s="56"/>
      <c r="D12" s="56" t="s">
        <v>777</v>
      </c>
      <c r="E12" s="57"/>
      <c r="F12" s="57">
        <v>12.5</v>
      </c>
      <c r="G12" s="56" t="s">
        <v>773</v>
      </c>
      <c r="H12" s="56" t="s">
        <v>774</v>
      </c>
      <c r="I12" s="59"/>
      <c r="J12" s="59"/>
      <c r="K12" s="59"/>
    </row>
    <row r="13" ht="20" customHeight="1" spans="1:11">
      <c r="A13" s="55">
        <v>44438</v>
      </c>
      <c r="B13" s="56">
        <v>3</v>
      </c>
      <c r="C13" s="56" t="s">
        <v>795</v>
      </c>
      <c r="D13" s="56" t="s">
        <v>772</v>
      </c>
      <c r="E13" s="57"/>
      <c r="F13" s="57">
        <v>1227.14</v>
      </c>
      <c r="G13" s="56" t="s">
        <v>773</v>
      </c>
      <c r="H13" s="56" t="s">
        <v>774</v>
      </c>
      <c r="I13" s="56" t="s">
        <v>796</v>
      </c>
      <c r="J13" s="56" t="s">
        <v>341</v>
      </c>
      <c r="K13" s="56"/>
    </row>
    <row r="14" ht="20" customHeight="1" spans="1:11">
      <c r="A14" s="55">
        <v>44500</v>
      </c>
      <c r="B14" s="56">
        <v>4</v>
      </c>
      <c r="C14" s="56" t="s">
        <v>797</v>
      </c>
      <c r="D14" s="56" t="s">
        <v>777</v>
      </c>
      <c r="E14" s="57"/>
      <c r="F14" s="57">
        <v>5.6</v>
      </c>
      <c r="G14" s="56" t="s">
        <v>773</v>
      </c>
      <c r="H14" s="56" t="s">
        <v>774</v>
      </c>
      <c r="I14" s="56" t="s">
        <v>798</v>
      </c>
      <c r="J14" s="56" t="s">
        <v>799</v>
      </c>
      <c r="K14" s="56"/>
    </row>
    <row r="15" ht="20" customHeight="1" spans="1:11">
      <c r="A15" s="55">
        <v>44592</v>
      </c>
      <c r="B15" s="56">
        <v>3</v>
      </c>
      <c r="C15" s="56" t="s">
        <v>800</v>
      </c>
      <c r="D15" s="56" t="s">
        <v>772</v>
      </c>
      <c r="E15" s="57"/>
      <c r="F15" s="57">
        <v>795.43</v>
      </c>
      <c r="G15" s="56" t="s">
        <v>773</v>
      </c>
      <c r="H15" s="56" t="s">
        <v>774</v>
      </c>
      <c r="I15" s="58" t="s">
        <v>801</v>
      </c>
      <c r="J15" s="58" t="s">
        <v>802</v>
      </c>
      <c r="K15" s="58"/>
    </row>
    <row r="16" ht="20" customHeight="1" spans="1:11">
      <c r="A16" s="55"/>
      <c r="B16" s="56"/>
      <c r="C16" s="56"/>
      <c r="D16" s="56" t="s">
        <v>777</v>
      </c>
      <c r="E16" s="57"/>
      <c r="F16" s="57">
        <v>7</v>
      </c>
      <c r="G16" s="56" t="s">
        <v>773</v>
      </c>
      <c r="H16" s="56" t="s">
        <v>774</v>
      </c>
      <c r="I16" s="59"/>
      <c r="J16" s="59"/>
      <c r="K16" s="59"/>
    </row>
    <row r="17" ht="20" customHeight="1" spans="1:11">
      <c r="A17" s="55">
        <v>44681</v>
      </c>
      <c r="B17" s="56">
        <v>5</v>
      </c>
      <c r="C17" s="56" t="s">
        <v>803</v>
      </c>
      <c r="D17" s="56" t="s">
        <v>772</v>
      </c>
      <c r="E17" s="57"/>
      <c r="F17" s="57">
        <v>1122.86</v>
      </c>
      <c r="G17" s="56" t="s">
        <v>773</v>
      </c>
      <c r="H17" s="56" t="s">
        <v>774</v>
      </c>
      <c r="I17" s="58" t="s">
        <v>804</v>
      </c>
      <c r="J17" s="58" t="s">
        <v>73</v>
      </c>
      <c r="K17" s="58"/>
    </row>
    <row r="18" ht="20" customHeight="1" spans="1:11">
      <c r="A18" s="55"/>
      <c r="B18" s="56"/>
      <c r="C18" s="56"/>
      <c r="D18" s="56" t="s">
        <v>777</v>
      </c>
      <c r="E18" s="57"/>
      <c r="F18" s="57">
        <v>9.8</v>
      </c>
      <c r="G18" s="56" t="s">
        <v>773</v>
      </c>
      <c r="H18" s="56" t="s">
        <v>774</v>
      </c>
      <c r="I18" s="59"/>
      <c r="J18" s="59"/>
      <c r="K18" s="59"/>
    </row>
    <row r="19" ht="20" customHeight="1" spans="1:11">
      <c r="A19" s="55">
        <v>44712</v>
      </c>
      <c r="B19" s="56">
        <v>5</v>
      </c>
      <c r="C19" s="56" t="s">
        <v>805</v>
      </c>
      <c r="D19" s="56" t="s">
        <v>772</v>
      </c>
      <c r="E19" s="57"/>
      <c r="F19" s="57">
        <v>2523.72</v>
      </c>
      <c r="G19" s="58" t="s">
        <v>773</v>
      </c>
      <c r="H19" s="58" t="s">
        <v>774</v>
      </c>
      <c r="I19" s="58" t="s">
        <v>806</v>
      </c>
      <c r="J19" s="58" t="s">
        <v>398</v>
      </c>
      <c r="K19" s="58"/>
    </row>
    <row r="20" ht="20" customHeight="1" spans="1:11">
      <c r="A20" s="55"/>
      <c r="B20" s="60"/>
      <c r="C20" s="56"/>
      <c r="D20" s="56" t="s">
        <v>788</v>
      </c>
      <c r="E20" s="57"/>
      <c r="F20" s="57">
        <v>543.75</v>
      </c>
      <c r="G20" s="61"/>
      <c r="H20" s="61"/>
      <c r="I20" s="61"/>
      <c r="J20" s="61"/>
      <c r="K20" s="61"/>
    </row>
    <row r="21" ht="20" customHeight="1" spans="1:11">
      <c r="A21" s="55"/>
      <c r="B21" s="56"/>
      <c r="C21" s="56" t="s">
        <v>807</v>
      </c>
      <c r="D21" s="56" t="s">
        <v>772</v>
      </c>
      <c r="E21" s="57"/>
      <c r="F21" s="57">
        <v>342.86</v>
      </c>
      <c r="G21" s="59"/>
      <c r="H21" s="59"/>
      <c r="I21" s="59"/>
      <c r="J21" s="59"/>
      <c r="K21" s="59"/>
    </row>
    <row r="22" ht="20" customHeight="1" spans="1:11">
      <c r="A22" s="55">
        <v>44773</v>
      </c>
      <c r="B22" s="56">
        <v>6</v>
      </c>
      <c r="C22" s="56" t="s">
        <v>808</v>
      </c>
      <c r="D22" s="56" t="s">
        <v>777</v>
      </c>
      <c r="E22" s="57"/>
      <c r="F22" s="57">
        <v>3</v>
      </c>
      <c r="G22" s="56" t="s">
        <v>773</v>
      </c>
      <c r="H22" s="56" t="s">
        <v>774</v>
      </c>
      <c r="I22" s="56" t="s">
        <v>809</v>
      </c>
      <c r="J22" s="56" t="s">
        <v>76</v>
      </c>
      <c r="K22" s="56"/>
    </row>
    <row r="23" ht="20" customHeight="1" spans="1:11">
      <c r="A23" s="55">
        <v>44804</v>
      </c>
      <c r="B23" s="56">
        <v>3</v>
      </c>
      <c r="C23" s="56" t="s">
        <v>810</v>
      </c>
      <c r="D23" s="56" t="s">
        <v>772</v>
      </c>
      <c r="E23" s="57"/>
      <c r="F23" s="57">
        <v>608.57</v>
      </c>
      <c r="G23" s="56" t="s">
        <v>773</v>
      </c>
      <c r="H23" s="56" t="s">
        <v>774</v>
      </c>
      <c r="I23" s="56" t="s">
        <v>811</v>
      </c>
      <c r="J23" s="56" t="s">
        <v>432</v>
      </c>
      <c r="K23" s="56"/>
    </row>
    <row r="24" ht="20" customHeight="1" spans="1:11">
      <c r="A24" s="55">
        <v>44865</v>
      </c>
      <c r="B24" s="56">
        <v>4</v>
      </c>
      <c r="C24" s="56" t="s">
        <v>812</v>
      </c>
      <c r="D24" s="56" t="s">
        <v>777</v>
      </c>
      <c r="E24" s="57"/>
      <c r="F24" s="57">
        <v>10.65</v>
      </c>
      <c r="G24" s="56" t="s">
        <v>773</v>
      </c>
      <c r="H24" s="56" t="s">
        <v>774</v>
      </c>
      <c r="I24" s="58" t="s">
        <v>813</v>
      </c>
      <c r="J24" s="58" t="s">
        <v>814</v>
      </c>
      <c r="K24" s="58"/>
    </row>
    <row r="25" ht="20" customHeight="1" spans="1:11">
      <c r="A25" s="55"/>
      <c r="B25" s="56"/>
      <c r="C25" s="56"/>
      <c r="D25" s="56" t="s">
        <v>772</v>
      </c>
      <c r="E25" s="57"/>
      <c r="F25" s="57">
        <v>608.57</v>
      </c>
      <c r="G25" s="56" t="s">
        <v>773</v>
      </c>
      <c r="H25" s="56" t="s">
        <v>774</v>
      </c>
      <c r="I25" s="59"/>
      <c r="J25" s="59"/>
      <c r="K25" s="59"/>
    </row>
    <row r="26" ht="20" customHeight="1" spans="1:11">
      <c r="A26" s="55">
        <v>45016</v>
      </c>
      <c r="B26" s="56">
        <v>5</v>
      </c>
      <c r="C26" s="56" t="s">
        <v>815</v>
      </c>
      <c r="D26" s="56" t="s">
        <v>772</v>
      </c>
      <c r="E26" s="57"/>
      <c r="F26" s="57">
        <v>1904.7</v>
      </c>
      <c r="G26" s="56" t="s">
        <v>773</v>
      </c>
      <c r="H26" s="56" t="s">
        <v>774</v>
      </c>
      <c r="I26" s="58" t="s">
        <v>816</v>
      </c>
      <c r="J26" s="58" t="s">
        <v>509</v>
      </c>
      <c r="K26" s="58"/>
    </row>
    <row r="27" ht="20" customHeight="1" spans="1:11">
      <c r="A27" s="55"/>
      <c r="B27" s="56"/>
      <c r="C27" s="56"/>
      <c r="D27" s="56" t="s">
        <v>817</v>
      </c>
      <c r="E27" s="57"/>
      <c r="F27" s="57">
        <v>870</v>
      </c>
      <c r="G27" s="56" t="s">
        <v>773</v>
      </c>
      <c r="H27" s="56" t="s">
        <v>774</v>
      </c>
      <c r="I27" s="59"/>
      <c r="J27" s="59"/>
      <c r="K27" s="59"/>
    </row>
    <row r="28" ht="20" customHeight="1" spans="1:11">
      <c r="A28" s="55">
        <v>45138</v>
      </c>
      <c r="B28" s="56">
        <v>9</v>
      </c>
      <c r="C28" s="56" t="s">
        <v>818</v>
      </c>
      <c r="D28" s="56" t="s">
        <v>772</v>
      </c>
      <c r="E28" s="57"/>
      <c r="F28" s="57">
        <v>1920</v>
      </c>
      <c r="G28" s="56" t="s">
        <v>773</v>
      </c>
      <c r="H28" s="56" t="s">
        <v>774</v>
      </c>
      <c r="I28" s="58" t="s">
        <v>819</v>
      </c>
      <c r="J28" s="58" t="s">
        <v>820</v>
      </c>
      <c r="K28" s="58"/>
    </row>
    <row r="29" ht="20" customHeight="1" spans="1:11">
      <c r="A29" s="55"/>
      <c r="B29" s="56"/>
      <c r="C29" s="56"/>
      <c r="D29" s="56" t="s">
        <v>777</v>
      </c>
      <c r="E29" s="57"/>
      <c r="F29" s="57">
        <v>16.8</v>
      </c>
      <c r="G29" s="56" t="s">
        <v>773</v>
      </c>
      <c r="H29" s="56" t="s">
        <v>774</v>
      </c>
      <c r="I29" s="59"/>
      <c r="J29" s="59"/>
      <c r="K29" s="59"/>
    </row>
    <row r="30" ht="20" customHeight="1" spans="1:11">
      <c r="A30" s="55">
        <v>45169</v>
      </c>
      <c r="B30" s="56">
        <v>3</v>
      </c>
      <c r="C30" s="56" t="s">
        <v>821</v>
      </c>
      <c r="D30" s="56" t="s">
        <v>772</v>
      </c>
      <c r="E30" s="57"/>
      <c r="F30" s="57">
        <v>1497.14</v>
      </c>
      <c r="G30" s="56" t="s">
        <v>773</v>
      </c>
      <c r="H30" s="56" t="s">
        <v>774</v>
      </c>
      <c r="I30" s="56" t="s">
        <v>822</v>
      </c>
      <c r="J30" s="56" t="s">
        <v>823</v>
      </c>
      <c r="K30" s="56"/>
    </row>
    <row r="31" ht="20" customHeight="1" spans="1:11">
      <c r="A31" s="55">
        <v>45230</v>
      </c>
      <c r="B31" s="56">
        <v>3</v>
      </c>
      <c r="C31" s="56" t="s">
        <v>797</v>
      </c>
      <c r="D31" s="56" t="s">
        <v>777</v>
      </c>
      <c r="E31" s="57"/>
      <c r="F31" s="57">
        <v>13.1</v>
      </c>
      <c r="G31" s="56" t="s">
        <v>773</v>
      </c>
      <c r="H31" s="56" t="s">
        <v>774</v>
      </c>
      <c r="I31" s="56" t="s">
        <v>824</v>
      </c>
      <c r="J31" s="56" t="s">
        <v>825</v>
      </c>
      <c r="K31" s="56"/>
    </row>
    <row r="32" ht="20" customHeight="1" spans="1:11">
      <c r="A32" s="55">
        <v>45351</v>
      </c>
      <c r="B32" s="56">
        <v>2</v>
      </c>
      <c r="C32" s="56" t="s">
        <v>778</v>
      </c>
      <c r="D32" s="56" t="s">
        <v>772</v>
      </c>
      <c r="E32" s="57"/>
      <c r="F32" s="57">
        <v>531.43</v>
      </c>
      <c r="G32" s="56" t="s">
        <v>773</v>
      </c>
      <c r="H32" s="56" t="s">
        <v>774</v>
      </c>
      <c r="I32" s="56" t="s">
        <v>826</v>
      </c>
      <c r="J32" s="56" t="s">
        <v>827</v>
      </c>
      <c r="K32" s="56"/>
    </row>
    <row r="33" ht="20" customHeight="1" spans="1:11">
      <c r="A33" s="55">
        <v>45382</v>
      </c>
      <c r="B33" s="56">
        <v>4</v>
      </c>
      <c r="C33" s="56" t="s">
        <v>828</v>
      </c>
      <c r="D33" s="56" t="s">
        <v>772</v>
      </c>
      <c r="E33" s="57"/>
      <c r="F33" s="57">
        <v>1667.32</v>
      </c>
      <c r="G33" s="56" t="s">
        <v>773</v>
      </c>
      <c r="H33" s="56" t="s">
        <v>774</v>
      </c>
      <c r="I33" s="58" t="s">
        <v>829</v>
      </c>
      <c r="J33" s="58" t="s">
        <v>607</v>
      </c>
      <c r="K33" s="56"/>
    </row>
    <row r="34" ht="20" customHeight="1" spans="1:11">
      <c r="A34" s="55"/>
      <c r="B34" s="56"/>
      <c r="C34" s="56"/>
      <c r="D34" s="56" t="s">
        <v>817</v>
      </c>
      <c r="E34" s="57"/>
      <c r="F34" s="57">
        <v>870</v>
      </c>
      <c r="G34" s="56" t="s">
        <v>773</v>
      </c>
      <c r="H34" s="56" t="s">
        <v>774</v>
      </c>
      <c r="I34" s="59"/>
      <c r="J34" s="59"/>
      <c r="K34" s="56"/>
    </row>
    <row r="35" ht="20" customHeight="1" spans="1:11">
      <c r="A35" s="55">
        <v>45412</v>
      </c>
      <c r="B35" s="56">
        <v>3</v>
      </c>
      <c r="C35" s="56" t="s">
        <v>830</v>
      </c>
      <c r="D35" s="56" t="s">
        <v>777</v>
      </c>
      <c r="E35" s="57"/>
      <c r="F35" s="57">
        <v>4.65</v>
      </c>
      <c r="G35" s="56" t="s">
        <v>773</v>
      </c>
      <c r="H35" s="56" t="s">
        <v>774</v>
      </c>
      <c r="I35" s="56" t="s">
        <v>831</v>
      </c>
      <c r="J35" s="56" t="s">
        <v>616</v>
      </c>
      <c r="K35" s="56"/>
    </row>
    <row r="36" ht="20" customHeight="1" spans="1:11">
      <c r="A36" s="55">
        <v>45747</v>
      </c>
      <c r="B36" s="56">
        <v>3</v>
      </c>
      <c r="C36" s="56" t="s">
        <v>832</v>
      </c>
      <c r="D36" s="56" t="s">
        <v>772</v>
      </c>
      <c r="E36" s="57"/>
      <c r="F36" s="57">
        <v>1667.32</v>
      </c>
      <c r="G36" s="56" t="s">
        <v>773</v>
      </c>
      <c r="H36" s="56" t="s">
        <v>774</v>
      </c>
      <c r="I36" s="56" t="s">
        <v>833</v>
      </c>
      <c r="J36" s="56" t="s">
        <v>673</v>
      </c>
      <c r="K36" s="56"/>
    </row>
    <row r="37" ht="20" customHeight="1" spans="1:11">
      <c r="A37" s="55">
        <v>45747</v>
      </c>
      <c r="B37" s="56">
        <v>4</v>
      </c>
      <c r="C37" s="56" t="s">
        <v>834</v>
      </c>
      <c r="D37" s="56" t="s">
        <v>817</v>
      </c>
      <c r="E37" s="57"/>
      <c r="F37" s="57">
        <v>870</v>
      </c>
      <c r="G37" s="56" t="s">
        <v>773</v>
      </c>
      <c r="H37" s="56" t="s">
        <v>774</v>
      </c>
      <c r="I37" s="56" t="s">
        <v>835</v>
      </c>
      <c r="J37" s="56" t="s">
        <v>673</v>
      </c>
      <c r="K37" s="56"/>
    </row>
    <row r="38" ht="20" customHeight="1" spans="1:11">
      <c r="A38" s="55"/>
      <c r="B38" s="56"/>
      <c r="C38" s="56"/>
      <c r="D38" s="56"/>
      <c r="E38" s="57"/>
      <c r="F38" s="57"/>
      <c r="G38" s="56"/>
      <c r="H38" s="56"/>
      <c r="I38" s="56" t="s">
        <v>107</v>
      </c>
      <c r="J38" s="56"/>
      <c r="K38" s="56"/>
    </row>
    <row r="39" ht="20" customHeight="1" spans="1:11">
      <c r="A39" s="55">
        <v>46112</v>
      </c>
      <c r="B39" s="56">
        <v>3</v>
      </c>
      <c r="C39" s="56" t="s">
        <v>836</v>
      </c>
      <c r="D39" s="56" t="s">
        <v>772</v>
      </c>
      <c r="E39" s="57"/>
      <c r="F39" s="57">
        <v>3960.81</v>
      </c>
      <c r="G39" s="56" t="s">
        <v>773</v>
      </c>
      <c r="H39" s="56" t="s">
        <v>774</v>
      </c>
      <c r="I39" s="56" t="s">
        <v>837</v>
      </c>
      <c r="J39" s="56" t="s">
        <v>746</v>
      </c>
      <c r="K39" s="56"/>
    </row>
    <row r="40" ht="20" customHeight="1" spans="1:11">
      <c r="A40" s="55">
        <v>46113</v>
      </c>
      <c r="B40" s="56">
        <v>4</v>
      </c>
      <c r="C40" s="56" t="s">
        <v>838</v>
      </c>
      <c r="D40" s="56" t="s">
        <v>772</v>
      </c>
      <c r="E40" s="57"/>
      <c r="F40" s="57">
        <v>870</v>
      </c>
      <c r="G40" s="56" t="s">
        <v>773</v>
      </c>
      <c r="H40" s="56" t="s">
        <v>774</v>
      </c>
      <c r="I40" s="56" t="s">
        <v>839</v>
      </c>
      <c r="J40" s="56" t="s">
        <v>746</v>
      </c>
      <c r="K40" s="56"/>
    </row>
    <row r="41" ht="20" customHeight="1" spans="1:11">
      <c r="A41" s="55"/>
      <c r="B41" s="56"/>
      <c r="C41" s="56"/>
      <c r="D41" s="56"/>
      <c r="E41" s="57"/>
      <c r="F41" s="57"/>
      <c r="G41" s="56"/>
      <c r="H41" s="56"/>
      <c r="I41" s="56" t="s">
        <v>107</v>
      </c>
      <c r="J41" s="56"/>
      <c r="K41" s="56"/>
    </row>
    <row r="42" ht="20" customHeight="1" spans="1:11">
      <c r="A42" s="55"/>
      <c r="B42" s="56"/>
      <c r="C42" s="56"/>
      <c r="D42" s="56"/>
      <c r="E42" s="57"/>
      <c r="F42" s="57"/>
      <c r="G42" s="56"/>
      <c r="H42" s="56"/>
      <c r="I42" s="56" t="s">
        <v>107</v>
      </c>
      <c r="J42" s="56"/>
      <c r="K42" s="56"/>
    </row>
    <row r="43" ht="20" customHeight="1" spans="1:11">
      <c r="A43" s="55"/>
      <c r="B43" s="56"/>
      <c r="C43" s="56"/>
      <c r="D43" s="56"/>
      <c r="E43" s="57"/>
      <c r="F43" s="57"/>
      <c r="G43" s="56"/>
      <c r="H43" s="56"/>
      <c r="I43" s="56" t="s">
        <v>107</v>
      </c>
      <c r="J43" s="56"/>
      <c r="K43" s="56"/>
    </row>
    <row r="44" ht="20" customHeight="1" spans="1:11">
      <c r="A44" s="55"/>
      <c r="B44" s="56"/>
      <c r="C44" s="56"/>
      <c r="D44" s="56"/>
      <c r="E44" s="57"/>
      <c r="F44" s="57"/>
      <c r="G44" s="56"/>
      <c r="H44" s="56"/>
      <c r="I44" s="56" t="s">
        <v>107</v>
      </c>
      <c r="J44" s="56"/>
      <c r="K44" s="56"/>
    </row>
    <row r="45" ht="20" customHeight="1" spans="1:11">
      <c r="A45" s="55"/>
      <c r="B45" s="56"/>
      <c r="C45" s="56"/>
      <c r="D45" s="56"/>
      <c r="E45" s="57"/>
      <c r="F45" s="57"/>
      <c r="G45" s="56"/>
      <c r="H45" s="56"/>
      <c r="I45" s="56" t="s">
        <v>107</v>
      </c>
      <c r="J45" s="56"/>
      <c r="K45" s="56"/>
    </row>
    <row r="46" ht="20" customHeight="1" spans="1:11">
      <c r="A46" s="55"/>
      <c r="B46" s="56"/>
      <c r="C46" s="56"/>
      <c r="D46" s="56"/>
      <c r="E46" s="57"/>
      <c r="F46" s="57"/>
      <c r="G46" s="56"/>
      <c r="H46" s="56"/>
      <c r="I46" s="56" t="s">
        <v>107</v>
      </c>
      <c r="J46" s="56"/>
      <c r="K46" s="56"/>
    </row>
    <row r="47" ht="20" customHeight="1" spans="1:11">
      <c r="A47" s="55"/>
      <c r="B47" s="56"/>
      <c r="C47" s="56"/>
      <c r="D47" s="56"/>
      <c r="E47" s="57"/>
      <c r="F47" s="57"/>
      <c r="G47" s="56"/>
      <c r="H47" s="56"/>
      <c r="I47" s="56" t="s">
        <v>107</v>
      </c>
      <c r="J47" s="56"/>
      <c r="K47" s="56"/>
    </row>
    <row r="48" ht="20" customHeight="1" spans="1:11">
      <c r="A48" s="55"/>
      <c r="B48" s="56"/>
      <c r="C48" s="56"/>
      <c r="D48" s="56"/>
      <c r="E48" s="57"/>
      <c r="F48" s="57"/>
      <c r="G48" s="56"/>
      <c r="H48" s="56"/>
      <c r="I48" s="56" t="s">
        <v>107</v>
      </c>
      <c r="J48" s="56"/>
      <c r="K48" s="56"/>
    </row>
    <row r="49" ht="20" customHeight="1" spans="1:11">
      <c r="A49" s="55"/>
      <c r="B49" s="56"/>
      <c r="C49" s="56"/>
      <c r="D49" s="56"/>
      <c r="E49" s="57"/>
      <c r="F49" s="57"/>
      <c r="G49" s="56"/>
      <c r="H49" s="56"/>
      <c r="I49" s="56" t="s">
        <v>107</v>
      </c>
      <c r="J49" s="56"/>
      <c r="K49" s="56"/>
    </row>
    <row r="50" ht="20" customHeight="1" spans="1:11">
      <c r="A50" s="55"/>
      <c r="B50" s="56"/>
      <c r="C50" s="56"/>
      <c r="D50" s="56"/>
      <c r="E50" s="57"/>
      <c r="F50" s="57"/>
      <c r="G50" s="56"/>
      <c r="H50" s="56"/>
      <c r="I50" s="56" t="s">
        <v>107</v>
      </c>
      <c r="J50" s="56"/>
      <c r="K50" s="56"/>
    </row>
    <row r="51" ht="20" customHeight="1" spans="1:11">
      <c r="A51" s="55"/>
      <c r="B51" s="56"/>
      <c r="C51" s="56"/>
      <c r="D51" s="56"/>
      <c r="E51" s="57"/>
      <c r="F51" s="57"/>
      <c r="G51" s="56"/>
      <c r="H51" s="56"/>
      <c r="I51" s="56" t="s">
        <v>107</v>
      </c>
      <c r="J51" s="56"/>
      <c r="K51" s="56"/>
    </row>
    <row r="52" ht="20" customHeight="1" spans="1:11">
      <c r="A52" s="55"/>
      <c r="B52" s="56"/>
      <c r="C52" s="56"/>
      <c r="D52" s="56"/>
      <c r="E52" s="57"/>
      <c r="F52" s="57"/>
      <c r="G52" s="56"/>
      <c r="H52" s="56"/>
      <c r="I52" s="56" t="s">
        <v>107</v>
      </c>
      <c r="J52" s="56"/>
      <c r="K52" s="56"/>
    </row>
    <row r="53" ht="20" customHeight="1" spans="1:11">
      <c r="A53" s="55"/>
      <c r="B53" s="56"/>
      <c r="C53" s="56"/>
      <c r="D53" s="56"/>
      <c r="E53" s="57"/>
      <c r="F53" s="57"/>
      <c r="G53" s="56"/>
      <c r="H53" s="56"/>
      <c r="I53" s="56" t="s">
        <v>107</v>
      </c>
      <c r="J53" s="56"/>
      <c r="K53" s="56"/>
    </row>
    <row r="54" ht="20" customHeight="1" spans="1:11">
      <c r="A54" s="55"/>
      <c r="B54" s="56"/>
      <c r="C54" s="56"/>
      <c r="D54" s="56"/>
      <c r="E54" s="57"/>
      <c r="F54" s="57"/>
      <c r="G54" s="56"/>
      <c r="H54" s="56"/>
      <c r="I54" s="56" t="s">
        <v>107</v>
      </c>
      <c r="J54" s="56"/>
      <c r="K54" s="56"/>
    </row>
    <row r="55" ht="20" customHeight="1" spans="1:11">
      <c r="A55" s="55"/>
      <c r="B55" s="56"/>
      <c r="C55" s="56"/>
      <c r="D55" s="56"/>
      <c r="E55" s="57"/>
      <c r="F55" s="57"/>
      <c r="G55" s="56"/>
      <c r="H55" s="56"/>
      <c r="I55" s="56" t="s">
        <v>107</v>
      </c>
      <c r="J55" s="56"/>
      <c r="K55" s="56"/>
    </row>
    <row r="56" ht="20" customHeight="1" spans="1:11">
      <c r="A56" s="55"/>
      <c r="B56" s="56"/>
      <c r="C56" s="56"/>
      <c r="D56" s="56"/>
      <c r="E56" s="57"/>
      <c r="F56" s="57"/>
      <c r="G56" s="56"/>
      <c r="H56" s="56"/>
      <c r="I56" s="56" t="s">
        <v>107</v>
      </c>
      <c r="J56" s="56"/>
      <c r="K56" s="56"/>
    </row>
    <row r="57" ht="20" customHeight="1" spans="1:11">
      <c r="A57" s="55"/>
      <c r="B57" s="56"/>
      <c r="C57" s="56"/>
      <c r="D57" s="56"/>
      <c r="E57" s="57"/>
      <c r="F57" s="57"/>
      <c r="G57" s="56"/>
      <c r="H57" s="56"/>
      <c r="I57" s="56" t="s">
        <v>107</v>
      </c>
      <c r="J57" s="56"/>
      <c r="K57" s="56"/>
    </row>
    <row r="58" ht="20" customHeight="1" spans="1:11">
      <c r="A58" s="55"/>
      <c r="B58" s="56"/>
      <c r="C58" s="56"/>
      <c r="D58" s="56"/>
      <c r="E58" s="57"/>
      <c r="F58" s="57"/>
      <c r="G58" s="56"/>
      <c r="H58" s="56"/>
      <c r="I58" s="56" t="s">
        <v>107</v>
      </c>
      <c r="J58" s="56"/>
      <c r="K58" s="56"/>
    </row>
    <row r="59" ht="20" customHeight="1" spans="1:11">
      <c r="A59" s="55"/>
      <c r="B59" s="56"/>
      <c r="C59" s="56"/>
      <c r="D59" s="56"/>
      <c r="E59" s="57"/>
      <c r="F59" s="57"/>
      <c r="G59" s="56"/>
      <c r="H59" s="56"/>
      <c r="I59" s="56" t="s">
        <v>107</v>
      </c>
      <c r="J59" s="56"/>
      <c r="K59" s="56"/>
    </row>
    <row r="60" ht="20" customHeight="1" spans="1:11">
      <c r="A60" s="55"/>
      <c r="B60" s="56"/>
      <c r="C60" s="56"/>
      <c r="D60" s="56"/>
      <c r="E60" s="57"/>
      <c r="F60" s="57"/>
      <c r="G60" s="56"/>
      <c r="H60" s="56"/>
      <c r="I60" s="56" t="s">
        <v>107</v>
      </c>
      <c r="J60" s="56"/>
      <c r="K60" s="56"/>
    </row>
  </sheetData>
  <mergeCells count="35">
    <mergeCell ref="G3:G4"/>
    <mergeCell ref="G7:G8"/>
    <mergeCell ref="G19:G21"/>
    <mergeCell ref="H3:H4"/>
    <mergeCell ref="H7:H8"/>
    <mergeCell ref="H19:H21"/>
    <mergeCell ref="I3:I4"/>
    <mergeCell ref="I7:I8"/>
    <mergeCell ref="I11:I12"/>
    <mergeCell ref="I15:I16"/>
    <mergeCell ref="I17:I18"/>
    <mergeCell ref="I19:I21"/>
    <mergeCell ref="I24:I25"/>
    <mergeCell ref="I26:I27"/>
    <mergeCell ref="I28:I29"/>
    <mergeCell ref="I33:I34"/>
    <mergeCell ref="J3:J4"/>
    <mergeCell ref="J7:J8"/>
    <mergeCell ref="J11:J12"/>
    <mergeCell ref="J15:J16"/>
    <mergeCell ref="J17:J18"/>
    <mergeCell ref="J19:J21"/>
    <mergeCell ref="J24:J25"/>
    <mergeCell ref="J26:J27"/>
    <mergeCell ref="J28:J29"/>
    <mergeCell ref="J33:J34"/>
    <mergeCell ref="K3:K4"/>
    <mergeCell ref="K7:K8"/>
    <mergeCell ref="K11:K12"/>
    <mergeCell ref="K15:K16"/>
    <mergeCell ref="K17:K18"/>
    <mergeCell ref="K19:K21"/>
    <mergeCell ref="K24:K25"/>
    <mergeCell ref="K26:K27"/>
    <mergeCell ref="K28:K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opLeftCell="A32" workbookViewId="0">
      <selection activeCell="I52" sqref="I52"/>
    </sheetView>
  </sheetViews>
  <sheetFormatPr defaultColWidth="9" defaultRowHeight="14.25"/>
  <cols>
    <col min="1" max="1" width="10.625" style="47" customWidth="1"/>
    <col min="2" max="13" width="10.625" style="48" customWidth="1"/>
    <col min="14" max="17" width="10.625" style="47" customWidth="1"/>
    <col min="18" max="16384" width="9" style="47"/>
  </cols>
  <sheetData>
    <row r="1" ht="30" customHeight="1" spans="1:13">
      <c r="A1" s="49" t="s">
        <v>840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ht="24" customHeight="1" spans="1:13">
      <c r="A2" s="4"/>
      <c r="B2" s="5" t="s">
        <v>841</v>
      </c>
      <c r="C2" s="5" t="s">
        <v>842</v>
      </c>
      <c r="D2" s="5" t="s">
        <v>843</v>
      </c>
      <c r="E2" s="5" t="s">
        <v>844</v>
      </c>
      <c r="F2" s="5" t="s">
        <v>845</v>
      </c>
      <c r="G2" s="5" t="s">
        <v>846</v>
      </c>
      <c r="H2" s="5" t="s">
        <v>847</v>
      </c>
      <c r="I2" s="5" t="s">
        <v>848</v>
      </c>
      <c r="J2" s="5" t="s">
        <v>849</v>
      </c>
      <c r="K2" s="5" t="s">
        <v>850</v>
      </c>
      <c r="L2" s="5" t="s">
        <v>851</v>
      </c>
      <c r="M2" s="5" t="s">
        <v>852</v>
      </c>
    </row>
    <row r="3" ht="20" customHeight="1" spans="1:13">
      <c r="A3" s="4" t="s">
        <v>853</v>
      </c>
      <c r="B3" s="5" t="s">
        <v>854</v>
      </c>
      <c r="C3" s="5" t="s">
        <v>854</v>
      </c>
      <c r="D3" s="5" t="s">
        <v>854</v>
      </c>
      <c r="E3" s="5" t="s">
        <v>854</v>
      </c>
      <c r="F3" s="5" t="s">
        <v>854</v>
      </c>
      <c r="G3" s="5" t="s">
        <v>854</v>
      </c>
      <c r="H3" s="5" t="s">
        <v>854</v>
      </c>
      <c r="I3" s="5" t="s">
        <v>854</v>
      </c>
      <c r="J3" s="5" t="s">
        <v>854</v>
      </c>
      <c r="K3" s="5" t="s">
        <v>854</v>
      </c>
      <c r="L3" s="5" t="s">
        <v>854</v>
      </c>
      <c r="M3" s="5" t="s">
        <v>854</v>
      </c>
    </row>
    <row r="4" ht="20" customHeight="1" spans="1:13">
      <c r="A4" s="4" t="s">
        <v>601</v>
      </c>
      <c r="B4" s="5"/>
      <c r="C4" s="5">
        <v>2831.8</v>
      </c>
      <c r="D4" s="5">
        <v>2831.8</v>
      </c>
      <c r="E4" s="5">
        <v>2831.8</v>
      </c>
      <c r="F4" s="5">
        <v>2831.8</v>
      </c>
      <c r="G4" s="5">
        <v>2831.8</v>
      </c>
      <c r="H4" s="5">
        <v>2831.8</v>
      </c>
      <c r="I4" s="5">
        <v>2831.8</v>
      </c>
      <c r="J4" s="5">
        <v>2831.8</v>
      </c>
      <c r="K4" s="5"/>
      <c r="L4" s="5"/>
      <c r="M4" s="5"/>
    </row>
    <row r="5" ht="20" customHeight="1" spans="1:13">
      <c r="A5" s="4" t="s">
        <v>855</v>
      </c>
      <c r="B5" s="5"/>
      <c r="C5" s="5">
        <v>1681.12</v>
      </c>
      <c r="D5" s="5">
        <v>1681.12</v>
      </c>
      <c r="E5" s="5">
        <v>1681.12</v>
      </c>
      <c r="F5" s="5">
        <v>1681.12</v>
      </c>
      <c r="G5" s="5">
        <v>1662.45</v>
      </c>
      <c r="H5" s="5">
        <v>1628.45</v>
      </c>
      <c r="I5" s="5">
        <v>1628.45</v>
      </c>
      <c r="J5" s="5">
        <v>1628.45</v>
      </c>
      <c r="K5" s="5"/>
      <c r="L5" s="5"/>
      <c r="M5" s="5"/>
    </row>
    <row r="6" ht="20" customHeight="1" spans="1:13">
      <c r="A6" s="4" t="s">
        <v>856</v>
      </c>
      <c r="B6" s="5"/>
      <c r="C6" s="5">
        <v>1881.12</v>
      </c>
      <c r="D6" s="5">
        <v>1881.12</v>
      </c>
      <c r="E6" s="5">
        <v>1881.12</v>
      </c>
      <c r="F6" s="5">
        <v>1881.12</v>
      </c>
      <c r="G6" s="5">
        <v>1862.45</v>
      </c>
      <c r="H6" s="5">
        <v>1828.45</v>
      </c>
      <c r="I6" s="5">
        <v>1828.45</v>
      </c>
      <c r="J6" s="5">
        <v>1828.45</v>
      </c>
      <c r="K6" s="5"/>
      <c r="L6" s="5"/>
      <c r="M6" s="5"/>
    </row>
    <row r="7" ht="20" customHeight="1" spans="1:13">
      <c r="A7" s="4" t="s">
        <v>857</v>
      </c>
      <c r="B7" s="5"/>
      <c r="C7" s="5">
        <v>2200</v>
      </c>
      <c r="D7" s="5">
        <v>2200</v>
      </c>
      <c r="E7" s="5">
        <v>2200</v>
      </c>
      <c r="F7" s="5">
        <v>2200</v>
      </c>
      <c r="G7" s="5">
        <v>2200</v>
      </c>
      <c r="H7" s="5">
        <v>2200</v>
      </c>
      <c r="I7" s="5">
        <v>2200</v>
      </c>
      <c r="J7" s="5">
        <v>2200</v>
      </c>
      <c r="K7" s="5"/>
      <c r="L7" s="5"/>
      <c r="M7" s="5"/>
    </row>
    <row r="8" ht="33" customHeight="1" spans="1:13">
      <c r="A8" s="49" t="s">
        <v>858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 ht="24" customHeight="1" spans="1:13">
      <c r="A9" s="4"/>
      <c r="B9" s="5" t="s">
        <v>841</v>
      </c>
      <c r="C9" s="5" t="s">
        <v>842</v>
      </c>
      <c r="D9" s="5" t="s">
        <v>843</v>
      </c>
      <c r="E9" s="5" t="s">
        <v>844</v>
      </c>
      <c r="F9" s="5" t="s">
        <v>845</v>
      </c>
      <c r="G9" s="5" t="s">
        <v>846</v>
      </c>
      <c r="H9" s="5" t="s">
        <v>847</v>
      </c>
      <c r="I9" s="5" t="s">
        <v>848</v>
      </c>
      <c r="J9" s="5" t="s">
        <v>849</v>
      </c>
      <c r="K9" s="5" t="s">
        <v>850</v>
      </c>
      <c r="L9" s="5" t="s">
        <v>851</v>
      </c>
      <c r="M9" s="5" t="s">
        <v>852</v>
      </c>
    </row>
    <row r="10" ht="20" customHeight="1" spans="1:13">
      <c r="A10" s="4" t="s">
        <v>853</v>
      </c>
      <c r="B10" s="5" t="s">
        <v>859</v>
      </c>
      <c r="C10" s="5" t="s">
        <v>859</v>
      </c>
      <c r="D10" s="5" t="s">
        <v>859</v>
      </c>
      <c r="E10" s="5" t="s">
        <v>859</v>
      </c>
      <c r="F10" s="5" t="s">
        <v>859</v>
      </c>
      <c r="G10" s="5" t="s">
        <v>859</v>
      </c>
      <c r="H10" s="5" t="s">
        <v>859</v>
      </c>
      <c r="I10" s="5" t="s">
        <v>859</v>
      </c>
      <c r="J10" s="5" t="s">
        <v>859</v>
      </c>
      <c r="K10" s="5" t="s">
        <v>859</v>
      </c>
      <c r="L10" s="5" t="s">
        <v>859</v>
      </c>
      <c r="M10" s="5" t="s">
        <v>859</v>
      </c>
    </row>
    <row r="11" ht="20" customHeight="1" spans="1:13">
      <c r="A11" s="4" t="s">
        <v>601</v>
      </c>
      <c r="B11" s="5">
        <v>3540</v>
      </c>
      <c r="C11" s="5">
        <v>3540</v>
      </c>
      <c r="D11" s="5">
        <v>3540</v>
      </c>
      <c r="E11" s="5">
        <v>3540</v>
      </c>
      <c r="F11" s="5">
        <v>3540</v>
      </c>
      <c r="G11" s="5">
        <v>3540</v>
      </c>
      <c r="H11" s="5">
        <v>3540</v>
      </c>
      <c r="I11" s="5">
        <v>3540</v>
      </c>
      <c r="J11" s="5">
        <v>3540</v>
      </c>
      <c r="K11" s="5">
        <v>3540</v>
      </c>
      <c r="L11" s="5">
        <v>3540</v>
      </c>
      <c r="M11" s="5">
        <v>3540</v>
      </c>
    </row>
    <row r="12" ht="20" customHeight="1" spans="1:13">
      <c r="A12" s="4" t="s">
        <v>855</v>
      </c>
      <c r="B12" s="5">
        <v>2270</v>
      </c>
      <c r="C12" s="5">
        <v>2270</v>
      </c>
      <c r="D12" s="5">
        <v>2270</v>
      </c>
      <c r="E12" s="5">
        <v>2270</v>
      </c>
      <c r="F12" s="5">
        <v>2270</v>
      </c>
      <c r="G12" s="5">
        <v>2270</v>
      </c>
      <c r="H12" s="5">
        <v>2270</v>
      </c>
      <c r="I12" s="5">
        <v>2270</v>
      </c>
      <c r="J12" s="5">
        <v>2270</v>
      </c>
      <c r="K12" s="5">
        <v>2270</v>
      </c>
      <c r="L12" s="5">
        <v>2270</v>
      </c>
      <c r="M12" s="5">
        <v>2270</v>
      </c>
    </row>
    <row r="13" ht="20" customHeight="1" spans="1:13">
      <c r="A13" s="4" t="s">
        <v>856</v>
      </c>
      <c r="B13" s="5">
        <v>2470</v>
      </c>
      <c r="C13" s="5">
        <v>2470</v>
      </c>
      <c r="D13" s="5">
        <v>2470</v>
      </c>
      <c r="E13" s="5">
        <v>2470</v>
      </c>
      <c r="F13" s="5">
        <v>2470</v>
      </c>
      <c r="G13" s="5">
        <v>2470</v>
      </c>
      <c r="H13" s="5">
        <v>2470</v>
      </c>
      <c r="I13" s="5">
        <v>2470</v>
      </c>
      <c r="J13" s="5">
        <v>2470</v>
      </c>
      <c r="K13" s="5">
        <v>2470</v>
      </c>
      <c r="L13" s="5">
        <v>2470</v>
      </c>
      <c r="M13" s="5">
        <v>2470</v>
      </c>
    </row>
    <row r="14" ht="20" customHeight="1" spans="1:13">
      <c r="A14" s="4" t="s">
        <v>857</v>
      </c>
      <c r="B14" s="5">
        <v>2200</v>
      </c>
      <c r="C14" s="5">
        <v>2200</v>
      </c>
      <c r="D14" s="5">
        <v>2200</v>
      </c>
      <c r="E14" s="5">
        <v>2200</v>
      </c>
      <c r="F14" s="5">
        <v>2200</v>
      </c>
      <c r="G14" s="5">
        <v>2200</v>
      </c>
      <c r="H14" s="5">
        <v>2200</v>
      </c>
      <c r="I14" s="5">
        <v>2200</v>
      </c>
      <c r="J14" s="5">
        <v>2200</v>
      </c>
      <c r="K14" s="5">
        <v>2200</v>
      </c>
      <c r="L14" s="5">
        <v>2200</v>
      </c>
      <c r="M14" s="5">
        <v>2200</v>
      </c>
    </row>
    <row r="15" ht="30" customHeight="1" spans="1:13">
      <c r="A15" s="49" t="s">
        <v>860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6" ht="20" customHeight="1" spans="1:13">
      <c r="A16" s="4"/>
      <c r="B16" s="5" t="s">
        <v>841</v>
      </c>
      <c r="C16" s="5" t="s">
        <v>842</v>
      </c>
      <c r="D16" s="5" t="s">
        <v>843</v>
      </c>
      <c r="E16" s="5" t="s">
        <v>844</v>
      </c>
      <c r="F16" s="5" t="s">
        <v>845</v>
      </c>
      <c r="G16" s="5" t="s">
        <v>846</v>
      </c>
      <c r="H16" s="5" t="s">
        <v>847</v>
      </c>
      <c r="I16" s="5" t="s">
        <v>848</v>
      </c>
      <c r="J16" s="5" t="s">
        <v>849</v>
      </c>
      <c r="K16" s="5" t="s">
        <v>850</v>
      </c>
      <c r="L16" s="5" t="s">
        <v>851</v>
      </c>
      <c r="M16" s="5" t="s">
        <v>852</v>
      </c>
    </row>
    <row r="17" ht="20" customHeight="1" spans="1:13">
      <c r="A17" s="4" t="s">
        <v>853</v>
      </c>
      <c r="B17" s="5" t="s">
        <v>859</v>
      </c>
      <c r="C17" s="5" t="s">
        <v>859</v>
      </c>
      <c r="D17" s="5" t="s">
        <v>859</v>
      </c>
      <c r="E17" s="5" t="s">
        <v>859</v>
      </c>
      <c r="F17" s="5" t="s">
        <v>859</v>
      </c>
      <c r="G17" s="5" t="s">
        <v>859</v>
      </c>
      <c r="H17" s="5" t="s">
        <v>859</v>
      </c>
      <c r="I17" s="5" t="s">
        <v>859</v>
      </c>
      <c r="J17" s="5" t="s">
        <v>859</v>
      </c>
      <c r="K17" s="5" t="s">
        <v>859</v>
      </c>
      <c r="L17" s="5" t="s">
        <v>859</v>
      </c>
      <c r="M17" s="5" t="s">
        <v>859</v>
      </c>
    </row>
    <row r="18" ht="20" customHeight="1" spans="1:13">
      <c r="A18" s="4" t="s">
        <v>601</v>
      </c>
      <c r="B18" s="5">
        <v>3540</v>
      </c>
      <c r="C18" s="5">
        <v>3540</v>
      </c>
      <c r="D18" s="5">
        <v>3540</v>
      </c>
      <c r="E18" s="5">
        <v>3540</v>
      </c>
      <c r="F18" s="5">
        <v>3540</v>
      </c>
      <c r="G18" s="5">
        <v>3540</v>
      </c>
      <c r="H18" s="5">
        <v>3540</v>
      </c>
      <c r="I18" s="5">
        <v>3540</v>
      </c>
      <c r="J18" s="5">
        <v>3540</v>
      </c>
      <c r="K18" s="5">
        <v>3540</v>
      </c>
      <c r="L18" s="5">
        <v>3540</v>
      </c>
      <c r="M18" s="5">
        <v>3540</v>
      </c>
    </row>
    <row r="19" ht="20" customHeight="1" spans="1:13">
      <c r="A19" s="4" t="s">
        <v>855</v>
      </c>
      <c r="B19" s="5">
        <v>2270</v>
      </c>
      <c r="C19" s="5">
        <v>2270</v>
      </c>
      <c r="D19" s="5">
        <v>2270</v>
      </c>
      <c r="E19" s="5">
        <v>2270</v>
      </c>
      <c r="F19" s="5">
        <v>2270</v>
      </c>
      <c r="G19" s="5">
        <v>2270</v>
      </c>
      <c r="H19" s="5">
        <v>2270</v>
      </c>
      <c r="I19" s="5">
        <v>2270</v>
      </c>
      <c r="J19" s="5">
        <v>2270</v>
      </c>
      <c r="K19" s="5">
        <v>2270</v>
      </c>
      <c r="L19" s="5">
        <v>2270</v>
      </c>
      <c r="M19" s="5">
        <v>2270</v>
      </c>
    </row>
    <row r="20" ht="20" customHeight="1" spans="1:13">
      <c r="A20" s="4" t="s">
        <v>856</v>
      </c>
      <c r="B20" s="5">
        <v>2470</v>
      </c>
      <c r="C20" s="5">
        <v>2470</v>
      </c>
      <c r="D20" s="5">
        <v>2470</v>
      </c>
      <c r="E20" s="5">
        <v>2470</v>
      </c>
      <c r="F20" s="5">
        <v>2470</v>
      </c>
      <c r="G20" s="5">
        <v>2470</v>
      </c>
      <c r="H20" s="5">
        <v>2470</v>
      </c>
      <c r="I20" s="5">
        <v>2470</v>
      </c>
      <c r="J20" s="5">
        <v>2470</v>
      </c>
      <c r="K20" s="5">
        <v>2470</v>
      </c>
      <c r="L20" s="5">
        <v>2470</v>
      </c>
      <c r="M20" s="5">
        <v>2470</v>
      </c>
    </row>
    <row r="21" ht="20" customHeight="1" spans="1:13">
      <c r="A21" s="4" t="s">
        <v>857</v>
      </c>
      <c r="B21" s="5">
        <v>2200</v>
      </c>
      <c r="C21" s="5">
        <v>2200</v>
      </c>
      <c r="D21" s="5">
        <v>2200</v>
      </c>
      <c r="E21" s="5">
        <v>2200</v>
      </c>
      <c r="F21" s="5">
        <v>2200</v>
      </c>
      <c r="G21" s="5">
        <v>2200</v>
      </c>
      <c r="H21" s="5">
        <v>2200</v>
      </c>
      <c r="I21" s="5">
        <v>2200</v>
      </c>
      <c r="J21" s="5">
        <v>2200</v>
      </c>
      <c r="K21" s="5">
        <v>2200</v>
      </c>
      <c r="L21" s="5">
        <v>2200</v>
      </c>
      <c r="M21" s="5">
        <v>2200</v>
      </c>
    </row>
    <row r="22" ht="30" customHeight="1" spans="1:13">
      <c r="A22" s="49" t="s">
        <v>861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ht="20" customHeight="1" spans="1:13">
      <c r="A23" s="4"/>
      <c r="B23" s="5" t="s">
        <v>841</v>
      </c>
      <c r="C23" s="5" t="s">
        <v>842</v>
      </c>
      <c r="D23" s="5" t="s">
        <v>843</v>
      </c>
      <c r="E23" s="5" t="s">
        <v>844</v>
      </c>
      <c r="F23" s="5" t="s">
        <v>845</v>
      </c>
      <c r="G23" s="5" t="s">
        <v>846</v>
      </c>
      <c r="H23" s="5" t="s">
        <v>847</v>
      </c>
      <c r="I23" s="5" t="s">
        <v>848</v>
      </c>
      <c r="J23" s="5" t="s">
        <v>849</v>
      </c>
      <c r="K23" s="5" t="s">
        <v>850</v>
      </c>
      <c r="L23" s="5" t="s">
        <v>851</v>
      </c>
      <c r="M23" s="5" t="s">
        <v>852</v>
      </c>
    </row>
    <row r="24" ht="20" customHeight="1" spans="1:13">
      <c r="A24" s="4" t="s">
        <v>853</v>
      </c>
      <c r="B24" s="5" t="s">
        <v>859</v>
      </c>
      <c r="C24" s="5" t="s">
        <v>859</v>
      </c>
      <c r="D24" s="5" t="s">
        <v>859</v>
      </c>
      <c r="E24" s="5" t="s">
        <v>859</v>
      </c>
      <c r="F24" s="5" t="s">
        <v>859</v>
      </c>
      <c r="G24" s="5" t="s">
        <v>859</v>
      </c>
      <c r="H24" s="5" t="s">
        <v>859</v>
      </c>
      <c r="I24" s="5" t="s">
        <v>859</v>
      </c>
      <c r="J24" s="5" t="s">
        <v>859</v>
      </c>
      <c r="K24" s="5" t="s">
        <v>859</v>
      </c>
      <c r="L24" s="5" t="s">
        <v>859</v>
      </c>
      <c r="M24" s="5" t="s">
        <v>859</v>
      </c>
    </row>
    <row r="25" ht="20" customHeight="1" spans="1:13">
      <c r="A25" s="4" t="s">
        <v>601</v>
      </c>
      <c r="B25" s="5">
        <v>3540</v>
      </c>
      <c r="C25" s="5">
        <v>3540</v>
      </c>
      <c r="D25" s="5">
        <v>3540</v>
      </c>
      <c r="E25" s="5">
        <v>3540</v>
      </c>
      <c r="F25" s="5">
        <v>3540</v>
      </c>
      <c r="G25" s="5">
        <v>3540</v>
      </c>
      <c r="H25" s="5">
        <v>3540</v>
      </c>
      <c r="I25" s="5">
        <v>3540</v>
      </c>
      <c r="J25" s="5">
        <v>3540</v>
      </c>
      <c r="K25" s="5">
        <v>2200</v>
      </c>
      <c r="L25" s="5">
        <v>2200</v>
      </c>
      <c r="M25" s="5">
        <v>2200</v>
      </c>
    </row>
    <row r="26" ht="20" customHeight="1" spans="1:13">
      <c r="A26" s="4" t="s">
        <v>855</v>
      </c>
      <c r="B26" s="5">
        <v>2270</v>
      </c>
      <c r="C26" s="5">
        <v>2270</v>
      </c>
      <c r="D26" s="5">
        <v>2270</v>
      </c>
      <c r="E26" s="5">
        <v>2270</v>
      </c>
      <c r="F26" s="5">
        <v>2270</v>
      </c>
      <c r="G26" s="5">
        <v>2270</v>
      </c>
      <c r="H26" s="5">
        <v>2270</v>
      </c>
      <c r="I26" s="5">
        <v>2270</v>
      </c>
      <c r="J26" s="5">
        <v>2270</v>
      </c>
      <c r="K26" s="5">
        <v>2800</v>
      </c>
      <c r="L26" s="5">
        <v>2800</v>
      </c>
      <c r="M26" s="5">
        <v>2800</v>
      </c>
    </row>
    <row r="27" ht="20" customHeight="1" spans="1:13">
      <c r="A27" s="4" t="s">
        <v>856</v>
      </c>
      <c r="B27" s="5">
        <v>2470</v>
      </c>
      <c r="C27" s="5">
        <v>2470</v>
      </c>
      <c r="D27" s="5">
        <v>2470</v>
      </c>
      <c r="E27" s="5">
        <v>2470</v>
      </c>
      <c r="F27" s="5">
        <v>2470</v>
      </c>
      <c r="G27" s="5">
        <v>2470</v>
      </c>
      <c r="H27" s="5">
        <v>2470</v>
      </c>
      <c r="I27" s="5">
        <v>2470</v>
      </c>
      <c r="J27" s="5">
        <v>2470</v>
      </c>
      <c r="K27" s="5">
        <v>3000</v>
      </c>
      <c r="L27" s="5">
        <v>3000</v>
      </c>
      <c r="M27" s="5">
        <v>3000</v>
      </c>
    </row>
    <row r="28" ht="20" customHeight="1" spans="1:13">
      <c r="A28" s="4" t="s">
        <v>857</v>
      </c>
      <c r="B28" s="5">
        <v>2200</v>
      </c>
      <c r="C28" s="5">
        <v>2200</v>
      </c>
      <c r="D28" s="5">
        <v>2200</v>
      </c>
      <c r="E28" s="5">
        <v>2200</v>
      </c>
      <c r="F28" s="5">
        <v>2200</v>
      </c>
      <c r="G28" s="5">
        <v>2200</v>
      </c>
      <c r="H28" s="5">
        <v>2200</v>
      </c>
      <c r="I28" s="5">
        <v>2200</v>
      </c>
      <c r="J28" s="5">
        <v>2200</v>
      </c>
      <c r="K28" s="5">
        <v>2200</v>
      </c>
      <c r="L28" s="5">
        <v>2200</v>
      </c>
      <c r="M28" s="5">
        <v>2200</v>
      </c>
    </row>
    <row r="29" ht="30" customHeight="1" spans="1:13">
      <c r="A29" s="49" t="s">
        <v>862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 ht="20" customHeight="1" spans="1:13">
      <c r="A30" s="4"/>
      <c r="B30" s="5" t="s">
        <v>841</v>
      </c>
      <c r="C30" s="5" t="s">
        <v>842</v>
      </c>
      <c r="D30" s="5" t="s">
        <v>843</v>
      </c>
      <c r="E30" s="5" t="s">
        <v>844</v>
      </c>
      <c r="F30" s="5" t="s">
        <v>845</v>
      </c>
      <c r="G30" s="5" t="s">
        <v>846</v>
      </c>
      <c r="H30" s="5" t="s">
        <v>847</v>
      </c>
      <c r="I30" s="5" t="s">
        <v>848</v>
      </c>
      <c r="J30" s="5" t="s">
        <v>849</v>
      </c>
      <c r="K30" s="5" t="s">
        <v>850</v>
      </c>
      <c r="L30" s="5" t="s">
        <v>851</v>
      </c>
      <c r="M30" s="5" t="s">
        <v>852</v>
      </c>
    </row>
    <row r="31" ht="20" customHeight="1" spans="1:13">
      <c r="A31" s="4" t="s">
        <v>853</v>
      </c>
      <c r="B31" s="5" t="s">
        <v>859</v>
      </c>
      <c r="C31" s="5" t="s">
        <v>859</v>
      </c>
      <c r="D31" s="5" t="s">
        <v>859</v>
      </c>
      <c r="E31" s="5" t="s">
        <v>859</v>
      </c>
      <c r="F31" s="5" t="s">
        <v>859</v>
      </c>
      <c r="G31" s="5" t="s">
        <v>859</v>
      </c>
      <c r="H31" s="5" t="s">
        <v>859</v>
      </c>
      <c r="I31" s="5" t="s">
        <v>859</v>
      </c>
      <c r="J31" s="5" t="s">
        <v>859</v>
      </c>
      <c r="K31" s="5" t="s">
        <v>859</v>
      </c>
      <c r="L31" s="5" t="s">
        <v>859</v>
      </c>
      <c r="M31" s="5" t="s">
        <v>859</v>
      </c>
    </row>
    <row r="32" ht="20" customHeight="1" spans="1:13">
      <c r="A32" s="4" t="s">
        <v>601</v>
      </c>
      <c r="B32" s="5">
        <v>2200</v>
      </c>
      <c r="C32" s="5">
        <v>2200</v>
      </c>
      <c r="D32" s="5">
        <v>2200</v>
      </c>
      <c r="E32" s="5">
        <v>2200</v>
      </c>
      <c r="F32" s="5">
        <v>2200</v>
      </c>
      <c r="G32" s="5">
        <v>2200</v>
      </c>
      <c r="H32" s="5">
        <v>2200</v>
      </c>
      <c r="I32" s="5">
        <v>2200</v>
      </c>
      <c r="J32" s="5">
        <v>2200</v>
      </c>
      <c r="K32" s="5">
        <v>2200</v>
      </c>
      <c r="L32" s="5">
        <v>2200</v>
      </c>
      <c r="M32" s="5">
        <v>2200</v>
      </c>
    </row>
    <row r="33" ht="20" customHeight="1" spans="1:13">
      <c r="A33" s="4" t="s">
        <v>855</v>
      </c>
      <c r="B33" s="5">
        <v>2800</v>
      </c>
      <c r="C33" s="5">
        <v>2800</v>
      </c>
      <c r="D33" s="5">
        <v>2800</v>
      </c>
      <c r="E33" s="5">
        <v>2800</v>
      </c>
      <c r="F33" s="5">
        <v>2800</v>
      </c>
      <c r="G33" s="5">
        <v>2800</v>
      </c>
      <c r="H33" s="5">
        <v>2800</v>
      </c>
      <c r="I33" s="5">
        <v>2800</v>
      </c>
      <c r="J33" s="5">
        <v>2800</v>
      </c>
      <c r="K33" s="5">
        <v>2800</v>
      </c>
      <c r="L33" s="5">
        <v>2800</v>
      </c>
      <c r="M33" s="5">
        <v>2800</v>
      </c>
    </row>
    <row r="34" ht="20" customHeight="1" spans="1:13">
      <c r="A34" s="4" t="s">
        <v>856</v>
      </c>
      <c r="B34" s="5">
        <v>3000</v>
      </c>
      <c r="C34" s="5">
        <v>3000</v>
      </c>
      <c r="D34" s="5">
        <v>3000</v>
      </c>
      <c r="E34" s="5">
        <v>3000</v>
      </c>
      <c r="F34" s="5">
        <v>3000</v>
      </c>
      <c r="G34" s="5">
        <v>3000</v>
      </c>
      <c r="H34" s="5">
        <v>3000</v>
      </c>
      <c r="I34" s="5">
        <v>3000</v>
      </c>
      <c r="J34" s="5">
        <v>3000</v>
      </c>
      <c r="K34" s="5">
        <v>3000</v>
      </c>
      <c r="L34" s="5">
        <v>3000</v>
      </c>
      <c r="M34" s="5">
        <v>3000</v>
      </c>
    </row>
    <row r="35" ht="20" customHeight="1" spans="1:13">
      <c r="A35" s="4" t="s">
        <v>857</v>
      </c>
      <c r="B35" s="5">
        <v>2200</v>
      </c>
      <c r="C35" s="5">
        <v>2200</v>
      </c>
      <c r="D35" s="5">
        <v>2200</v>
      </c>
      <c r="E35" s="5">
        <v>2200</v>
      </c>
      <c r="F35" s="5">
        <v>2200</v>
      </c>
      <c r="G35" s="5">
        <v>2200</v>
      </c>
      <c r="H35" s="5">
        <v>2200</v>
      </c>
      <c r="I35" s="5">
        <v>2200</v>
      </c>
      <c r="J35" s="5">
        <v>2200</v>
      </c>
      <c r="K35" s="5">
        <v>2200</v>
      </c>
      <c r="L35" s="5">
        <v>2200</v>
      </c>
      <c r="M35" s="5">
        <v>2200</v>
      </c>
    </row>
    <row r="36" ht="32" customHeight="1" spans="1:13">
      <c r="A36" s="49" t="s">
        <v>863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ht="20" customHeight="1" spans="1:13">
      <c r="A37" s="4"/>
      <c r="B37" s="5" t="s">
        <v>841</v>
      </c>
      <c r="C37" s="5" t="s">
        <v>842</v>
      </c>
      <c r="D37" s="5" t="s">
        <v>843</v>
      </c>
      <c r="E37" s="5" t="s">
        <v>844</v>
      </c>
      <c r="F37" s="5" t="s">
        <v>845</v>
      </c>
      <c r="G37" s="5" t="s">
        <v>846</v>
      </c>
      <c r="H37" s="5" t="s">
        <v>847</v>
      </c>
      <c r="I37" s="5" t="s">
        <v>848</v>
      </c>
      <c r="J37" s="5" t="s">
        <v>849</v>
      </c>
      <c r="K37" s="5" t="s">
        <v>850</v>
      </c>
      <c r="L37" s="5" t="s">
        <v>851</v>
      </c>
      <c r="M37" s="5" t="s">
        <v>852</v>
      </c>
    </row>
    <row r="38" ht="20" customHeight="1" spans="1:13">
      <c r="A38" s="4" t="s">
        <v>853</v>
      </c>
      <c r="B38" s="5" t="s">
        <v>859</v>
      </c>
      <c r="C38" s="5" t="s">
        <v>859</v>
      </c>
      <c r="D38" s="5" t="s">
        <v>859</v>
      </c>
      <c r="E38" s="5" t="s">
        <v>859</v>
      </c>
      <c r="F38" s="5" t="s">
        <v>859</v>
      </c>
      <c r="G38" s="5" t="s">
        <v>859</v>
      </c>
      <c r="H38" s="5" t="s">
        <v>859</v>
      </c>
      <c r="I38" s="5" t="s">
        <v>859</v>
      </c>
      <c r="J38" s="5" t="s">
        <v>859</v>
      </c>
      <c r="K38" s="5" t="s">
        <v>859</v>
      </c>
      <c r="L38" s="5" t="s">
        <v>859</v>
      </c>
      <c r="M38" s="5" t="s">
        <v>859</v>
      </c>
    </row>
    <row r="39" ht="20" customHeight="1" spans="1:13">
      <c r="A39" s="4" t="s">
        <v>601</v>
      </c>
      <c r="B39" s="5">
        <v>2200</v>
      </c>
      <c r="C39" s="5">
        <v>2200</v>
      </c>
      <c r="D39" s="5">
        <v>2200</v>
      </c>
      <c r="E39" s="5">
        <v>2200</v>
      </c>
      <c r="F39" s="5">
        <v>2200</v>
      </c>
      <c r="G39" s="5">
        <v>2200</v>
      </c>
      <c r="H39" s="5">
        <v>2200</v>
      </c>
      <c r="I39" s="5">
        <v>2200</v>
      </c>
      <c r="J39" s="5">
        <v>2200</v>
      </c>
      <c r="K39" s="5">
        <v>2200</v>
      </c>
      <c r="L39" s="5">
        <v>2200</v>
      </c>
      <c r="M39" s="5">
        <v>2200</v>
      </c>
    </row>
    <row r="40" ht="20" customHeight="1" spans="1:13">
      <c r="A40" s="4" t="s">
        <v>855</v>
      </c>
      <c r="B40" s="5">
        <v>2800</v>
      </c>
      <c r="C40" s="5">
        <v>2800</v>
      </c>
      <c r="D40" s="5">
        <v>2800</v>
      </c>
      <c r="E40" s="5">
        <v>2800</v>
      </c>
      <c r="F40" s="5">
        <v>2800</v>
      </c>
      <c r="G40" s="5">
        <v>2800</v>
      </c>
      <c r="H40" s="5">
        <v>2800</v>
      </c>
      <c r="I40" s="5">
        <v>2800</v>
      </c>
      <c r="J40" s="5">
        <v>2800</v>
      </c>
      <c r="K40" s="5">
        <v>2800</v>
      </c>
      <c r="L40" s="5">
        <v>2800</v>
      </c>
      <c r="M40" s="5">
        <v>2800</v>
      </c>
    </row>
    <row r="41" ht="20" customHeight="1" spans="1:13">
      <c r="A41" s="4" t="s">
        <v>856</v>
      </c>
      <c r="B41" s="5">
        <v>3000</v>
      </c>
      <c r="C41" s="5">
        <v>3000</v>
      </c>
      <c r="D41" s="5">
        <v>3000</v>
      </c>
      <c r="E41" s="5">
        <v>3000</v>
      </c>
      <c r="F41" s="5">
        <v>3000</v>
      </c>
      <c r="G41" s="5">
        <v>3000</v>
      </c>
      <c r="H41" s="5">
        <v>3000</v>
      </c>
      <c r="I41" s="5">
        <v>3000</v>
      </c>
      <c r="J41" s="5">
        <v>3000</v>
      </c>
      <c r="K41" s="5">
        <v>3000</v>
      </c>
      <c r="L41" s="5">
        <v>3000</v>
      </c>
      <c r="M41" s="5">
        <v>3000</v>
      </c>
    </row>
    <row r="42" ht="20" customHeight="1" spans="1:13">
      <c r="A42" s="4" t="s">
        <v>857</v>
      </c>
      <c r="B42" s="5">
        <v>2200</v>
      </c>
      <c r="C42" s="5">
        <v>2200</v>
      </c>
      <c r="D42" s="5">
        <v>2200</v>
      </c>
      <c r="E42" s="5">
        <v>2200</v>
      </c>
      <c r="F42" s="5">
        <v>2200</v>
      </c>
      <c r="G42" s="5">
        <v>2200</v>
      </c>
      <c r="H42" s="5">
        <v>2200</v>
      </c>
      <c r="I42" s="5">
        <v>2200</v>
      </c>
      <c r="J42" s="5">
        <v>2200</v>
      </c>
      <c r="K42" s="5">
        <v>2200</v>
      </c>
      <c r="L42" s="5">
        <v>2200</v>
      </c>
      <c r="M42" s="5">
        <v>2200</v>
      </c>
    </row>
    <row r="43" ht="36" customHeight="1" spans="1:13">
      <c r="A43" s="49" t="s">
        <v>863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 ht="20" customHeight="1" spans="1:13">
      <c r="A44" s="4"/>
      <c r="B44" s="5" t="s">
        <v>841</v>
      </c>
      <c r="C44" s="5" t="s">
        <v>842</v>
      </c>
      <c r="D44" s="5" t="s">
        <v>843</v>
      </c>
      <c r="E44" s="5" t="s">
        <v>844</v>
      </c>
      <c r="F44" s="5" t="s">
        <v>845</v>
      </c>
      <c r="G44" s="5" t="s">
        <v>846</v>
      </c>
      <c r="H44" s="5" t="s">
        <v>847</v>
      </c>
      <c r="I44" s="5" t="s">
        <v>848</v>
      </c>
      <c r="J44" s="5" t="s">
        <v>849</v>
      </c>
      <c r="K44" s="5" t="s">
        <v>850</v>
      </c>
      <c r="L44" s="5" t="s">
        <v>851</v>
      </c>
      <c r="M44" s="5" t="s">
        <v>852</v>
      </c>
    </row>
    <row r="45" ht="20" customHeight="1" spans="1:13">
      <c r="A45" s="4" t="s">
        <v>853</v>
      </c>
      <c r="B45" s="5" t="s">
        <v>859</v>
      </c>
      <c r="C45" s="5" t="s">
        <v>859</v>
      </c>
      <c r="D45" s="5" t="s">
        <v>859</v>
      </c>
      <c r="E45" s="5" t="s">
        <v>859</v>
      </c>
      <c r="F45" s="5" t="s">
        <v>859</v>
      </c>
      <c r="G45" s="5" t="s">
        <v>859</v>
      </c>
      <c r="H45" s="5" t="s">
        <v>859</v>
      </c>
      <c r="I45" s="5" t="s">
        <v>859</v>
      </c>
      <c r="J45" s="5" t="s">
        <v>859</v>
      </c>
      <c r="K45" s="5" t="s">
        <v>859</v>
      </c>
      <c r="L45" s="5" t="s">
        <v>859</v>
      </c>
      <c r="M45" s="5" t="s">
        <v>859</v>
      </c>
    </row>
    <row r="46" ht="20" customHeight="1" spans="1:13">
      <c r="A46" s="4" t="s">
        <v>601</v>
      </c>
      <c r="B46" s="5">
        <v>2200</v>
      </c>
      <c r="C46" s="5">
        <v>2200</v>
      </c>
      <c r="D46" s="5">
        <v>2200</v>
      </c>
      <c r="E46" s="5">
        <v>2200</v>
      </c>
      <c r="F46" s="5">
        <v>2200</v>
      </c>
      <c r="G46" s="5">
        <v>2200</v>
      </c>
      <c r="H46" s="5">
        <v>2200</v>
      </c>
      <c r="I46" s="5"/>
      <c r="J46" s="5"/>
      <c r="K46" s="5"/>
      <c r="L46" s="5"/>
      <c r="M46" s="5"/>
    </row>
    <row r="47" ht="20" customHeight="1" spans="1:13">
      <c r="A47" s="4" t="s">
        <v>855</v>
      </c>
      <c r="B47" s="5">
        <v>2800</v>
      </c>
      <c r="C47" s="5">
        <v>2800</v>
      </c>
      <c r="D47" s="5">
        <v>2800</v>
      </c>
      <c r="E47" s="5">
        <v>2800</v>
      </c>
      <c r="F47" s="5">
        <v>2800</v>
      </c>
      <c r="G47" s="5">
        <v>2800</v>
      </c>
      <c r="H47" s="5">
        <v>2800</v>
      </c>
      <c r="I47" s="5"/>
      <c r="J47" s="5"/>
      <c r="K47" s="5"/>
      <c r="L47" s="5"/>
      <c r="M47" s="5"/>
    </row>
    <row r="48" ht="20" customHeight="1" spans="1:13">
      <c r="A48" s="4" t="s">
        <v>856</v>
      </c>
      <c r="B48" s="5">
        <v>3000</v>
      </c>
      <c r="C48" s="5">
        <v>3000</v>
      </c>
      <c r="D48" s="5">
        <v>3000</v>
      </c>
      <c r="E48" s="5">
        <v>3000</v>
      </c>
      <c r="F48" s="5">
        <v>3000</v>
      </c>
      <c r="G48" s="5">
        <v>3000</v>
      </c>
      <c r="H48" s="5">
        <v>3000</v>
      </c>
      <c r="I48" s="5"/>
      <c r="J48" s="5"/>
      <c r="K48" s="5"/>
      <c r="L48" s="5"/>
      <c r="M48" s="5"/>
    </row>
    <row r="49" ht="20" customHeight="1" spans="1:13">
      <c r="A49" s="4" t="s">
        <v>857</v>
      </c>
      <c r="B49" s="5">
        <v>2200</v>
      </c>
      <c r="C49" s="5">
        <v>2200</v>
      </c>
      <c r="D49" s="5">
        <v>2200</v>
      </c>
      <c r="E49" s="5">
        <v>2200</v>
      </c>
      <c r="F49" s="5">
        <v>2200</v>
      </c>
      <c r="G49" s="5">
        <v>2200</v>
      </c>
      <c r="H49" s="5">
        <v>2200</v>
      </c>
      <c r="I49" s="5"/>
      <c r="J49" s="5"/>
      <c r="K49" s="5"/>
      <c r="L49" s="5"/>
      <c r="M49" s="5"/>
    </row>
    <row r="50" ht="20" customHeight="1"/>
  </sheetData>
  <mergeCells count="7">
    <mergeCell ref="A1:M1"/>
    <mergeCell ref="A8:M8"/>
    <mergeCell ref="A15:M15"/>
    <mergeCell ref="A22:M22"/>
    <mergeCell ref="A29:M29"/>
    <mergeCell ref="A36:M36"/>
    <mergeCell ref="A43:M4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6"/>
  <sheetViews>
    <sheetView topLeftCell="C82" workbookViewId="0">
      <selection activeCell="I85" sqref="I85:I86"/>
    </sheetView>
  </sheetViews>
  <sheetFormatPr defaultColWidth="9" defaultRowHeight="14.25"/>
  <cols>
    <col min="1" max="1" width="22.625" style="23" customWidth="1"/>
    <col min="2" max="2" width="28.625" style="23" customWidth="1"/>
    <col min="3" max="3" width="22.875" style="23" customWidth="1"/>
    <col min="4" max="4" width="21.625" style="24" customWidth="1"/>
    <col min="5" max="11" width="20.625" style="23" customWidth="1"/>
    <col min="12" max="13" width="20.875" style="23" customWidth="1"/>
    <col min="14" max="15" width="23.125" style="23" customWidth="1"/>
    <col min="16" max="16" width="22.75" style="23" customWidth="1"/>
    <col min="17" max="46" width="21.625" style="23" customWidth="1"/>
    <col min="47" max="16384" width="9" style="23"/>
  </cols>
  <sheetData>
    <row r="1" ht="37" customHeight="1" spans="1:4">
      <c r="A1" s="25" t="s">
        <v>864</v>
      </c>
      <c r="B1" s="26"/>
      <c r="C1" s="26"/>
      <c r="D1" s="27"/>
    </row>
    <row r="2" ht="24.75" customHeight="1" spans="1:42">
      <c r="A2" s="28">
        <v>1</v>
      </c>
      <c r="B2" s="28">
        <v>2</v>
      </c>
      <c r="C2" s="28">
        <v>3</v>
      </c>
      <c r="D2" s="29" t="s">
        <v>865</v>
      </c>
      <c r="E2" s="29" t="s">
        <v>866</v>
      </c>
      <c r="F2" s="29" t="s">
        <v>867</v>
      </c>
      <c r="G2" s="29" t="s">
        <v>868</v>
      </c>
      <c r="H2" s="29" t="s">
        <v>869</v>
      </c>
      <c r="I2" s="29" t="s">
        <v>870</v>
      </c>
      <c r="J2" s="29" t="s">
        <v>871</v>
      </c>
      <c r="K2" s="29" t="s">
        <v>872</v>
      </c>
      <c r="L2" s="29" t="s">
        <v>873</v>
      </c>
      <c r="M2" s="29" t="s">
        <v>874</v>
      </c>
      <c r="N2" s="29" t="s">
        <v>875</v>
      </c>
      <c r="O2" s="29" t="s">
        <v>875</v>
      </c>
      <c r="P2" s="29" t="s">
        <v>876</v>
      </c>
      <c r="Q2" s="29" t="s">
        <v>877</v>
      </c>
      <c r="AP2" s="42"/>
    </row>
    <row r="3" ht="24.75" customHeight="1" spans="1:42">
      <c r="A3" s="28" t="s">
        <v>878</v>
      </c>
      <c r="B3" s="28" t="s">
        <v>879</v>
      </c>
      <c r="C3" s="28" t="s">
        <v>880</v>
      </c>
      <c r="D3" s="30" t="s">
        <v>881</v>
      </c>
      <c r="E3" s="31" t="s">
        <v>881</v>
      </c>
      <c r="F3" s="31" t="s">
        <v>881</v>
      </c>
      <c r="G3" s="31" t="s">
        <v>881</v>
      </c>
      <c r="H3" s="31" t="s">
        <v>881</v>
      </c>
      <c r="I3" s="31" t="s">
        <v>881</v>
      </c>
      <c r="J3" s="31" t="s">
        <v>881</v>
      </c>
      <c r="K3" s="31" t="s">
        <v>881</v>
      </c>
      <c r="L3" s="31" t="s">
        <v>881</v>
      </c>
      <c r="M3" s="31" t="s">
        <v>881</v>
      </c>
      <c r="N3" s="31" t="s">
        <v>881</v>
      </c>
      <c r="O3" s="31" t="s">
        <v>881</v>
      </c>
      <c r="P3" s="31" t="s">
        <v>881</v>
      </c>
      <c r="Q3" s="31" t="s">
        <v>881</v>
      </c>
      <c r="AP3" s="31"/>
    </row>
    <row r="4" ht="24.75" customHeight="1" spans="1:17">
      <c r="A4" s="28" t="s">
        <v>882</v>
      </c>
      <c r="B4" s="28" t="s">
        <v>883</v>
      </c>
      <c r="C4" s="28" t="s">
        <v>884</v>
      </c>
      <c r="D4" s="32">
        <v>0</v>
      </c>
      <c r="E4" s="32">
        <v>1425.76</v>
      </c>
      <c r="F4" s="32">
        <v>1425.76</v>
      </c>
      <c r="G4" s="32">
        <v>1425.76</v>
      </c>
      <c r="H4" s="32">
        <v>1425.76</v>
      </c>
      <c r="I4" s="32">
        <v>1425.76</v>
      </c>
      <c r="J4" s="32">
        <v>1425.76</v>
      </c>
      <c r="K4" s="32">
        <v>1425.76</v>
      </c>
      <c r="L4" s="32">
        <v>1425.76</v>
      </c>
      <c r="M4" s="32">
        <v>1425.76</v>
      </c>
      <c r="N4" s="32">
        <v>1661.94</v>
      </c>
      <c r="O4" s="32"/>
      <c r="P4" s="32">
        <v>1661.94</v>
      </c>
      <c r="Q4" s="37">
        <v>1661.94</v>
      </c>
    </row>
    <row r="5" ht="24.75" customHeight="1" spans="1:17">
      <c r="A5" s="28" t="s">
        <v>882</v>
      </c>
      <c r="B5" s="28" t="s">
        <v>885</v>
      </c>
      <c r="C5" s="28" t="s">
        <v>886</v>
      </c>
      <c r="D5" s="32">
        <v>814.72</v>
      </c>
      <c r="E5" s="32">
        <v>814.72</v>
      </c>
      <c r="F5" s="32">
        <v>814.72</v>
      </c>
      <c r="G5" s="33">
        <v>814.72</v>
      </c>
      <c r="H5" s="33">
        <v>814.72</v>
      </c>
      <c r="I5" s="33">
        <v>814.72</v>
      </c>
      <c r="J5" s="33">
        <v>814.72</v>
      </c>
      <c r="K5" s="33">
        <v>814.72</v>
      </c>
      <c r="L5" s="33">
        <v>814.72</v>
      </c>
      <c r="M5" s="33">
        <v>814.72</v>
      </c>
      <c r="N5" s="32">
        <v>949.68</v>
      </c>
      <c r="O5" s="32">
        <v>1214.64</v>
      </c>
      <c r="P5" s="32">
        <v>949.68</v>
      </c>
      <c r="Q5" s="37">
        <v>949.68</v>
      </c>
    </row>
    <row r="6" ht="27" customHeight="1" spans="1:17">
      <c r="A6" s="28" t="s">
        <v>887</v>
      </c>
      <c r="B6" s="28" t="s">
        <v>888</v>
      </c>
      <c r="C6" s="28" t="s">
        <v>884</v>
      </c>
      <c r="D6" s="32">
        <v>0</v>
      </c>
      <c r="E6" s="32">
        <v>50.92</v>
      </c>
      <c r="F6" s="32">
        <v>50.92</v>
      </c>
      <c r="G6" s="32">
        <v>50.92</v>
      </c>
      <c r="H6" s="32">
        <v>50.92</v>
      </c>
      <c r="I6" s="32">
        <v>50.92</v>
      </c>
      <c r="J6" s="32">
        <v>50.92</v>
      </c>
      <c r="K6" s="32">
        <v>50.92</v>
      </c>
      <c r="L6" s="32">
        <v>50.92</v>
      </c>
      <c r="M6" s="32">
        <v>50.92</v>
      </c>
      <c r="N6" s="32">
        <v>59.37</v>
      </c>
      <c r="O6" s="32"/>
      <c r="P6" s="32">
        <v>59.37</v>
      </c>
      <c r="Q6" s="37">
        <v>59.37</v>
      </c>
    </row>
    <row r="7" ht="24.75" customHeight="1" spans="1:17">
      <c r="A7" s="28" t="s">
        <v>887</v>
      </c>
      <c r="B7" s="28" t="s">
        <v>889</v>
      </c>
      <c r="C7" s="28" t="s">
        <v>886</v>
      </c>
      <c r="D7" s="32">
        <v>50.92</v>
      </c>
      <c r="E7" s="32">
        <v>50.92</v>
      </c>
      <c r="F7" s="32">
        <v>50.92</v>
      </c>
      <c r="G7" s="33">
        <v>50.92</v>
      </c>
      <c r="H7" s="33">
        <v>50.92</v>
      </c>
      <c r="I7" s="33">
        <v>50.92</v>
      </c>
      <c r="J7" s="33">
        <v>50.92</v>
      </c>
      <c r="K7" s="33">
        <v>50.92</v>
      </c>
      <c r="L7" s="33">
        <v>50.92</v>
      </c>
      <c r="M7" s="33">
        <v>50.92</v>
      </c>
      <c r="N7" s="32">
        <v>59.37</v>
      </c>
      <c r="O7" s="32">
        <v>76.05</v>
      </c>
      <c r="P7" s="32">
        <v>59.37</v>
      </c>
      <c r="Q7" s="37">
        <v>59.37</v>
      </c>
    </row>
    <row r="8" ht="24.75" customHeight="1" spans="1:17">
      <c r="A8" s="28" t="s">
        <v>890</v>
      </c>
      <c r="B8" s="28" t="s">
        <v>891</v>
      </c>
      <c r="C8" s="28" t="s">
        <v>892</v>
      </c>
      <c r="D8" s="32">
        <v>1108.56</v>
      </c>
      <c r="E8" s="32">
        <v>1108.56</v>
      </c>
      <c r="F8" s="32">
        <v>1108.56</v>
      </c>
      <c r="G8" s="33">
        <v>1037.04</v>
      </c>
      <c r="H8" s="33">
        <v>1037.04</v>
      </c>
      <c r="I8" s="33">
        <v>1037.04</v>
      </c>
      <c r="J8" s="33">
        <v>1037.04</v>
      </c>
      <c r="K8" s="33">
        <v>1037.04</v>
      </c>
      <c r="L8" s="33">
        <v>1037.04</v>
      </c>
      <c r="M8" s="33">
        <v>1037.04</v>
      </c>
      <c r="N8" s="32">
        <v>1037.04</v>
      </c>
      <c r="O8" s="32"/>
      <c r="P8" s="32">
        <v>1037.04</v>
      </c>
      <c r="Q8" s="37">
        <v>1037.04</v>
      </c>
    </row>
    <row r="9" ht="24.75" customHeight="1" spans="1:17">
      <c r="A9" s="28" t="s">
        <v>890</v>
      </c>
      <c r="B9" s="28" t="s">
        <v>891</v>
      </c>
      <c r="C9" s="28" t="s">
        <v>893</v>
      </c>
      <c r="D9" s="32">
        <v>536.4</v>
      </c>
      <c r="E9" s="32">
        <v>536.4</v>
      </c>
      <c r="F9" s="32">
        <v>536.4</v>
      </c>
      <c r="G9" s="34">
        <v>536.4</v>
      </c>
      <c r="H9" s="34">
        <v>536.4</v>
      </c>
      <c r="I9" s="34">
        <v>536.4</v>
      </c>
      <c r="J9" s="34">
        <v>536.4</v>
      </c>
      <c r="K9" s="34">
        <v>536.4</v>
      </c>
      <c r="L9" s="34">
        <v>536.4</v>
      </c>
      <c r="M9" s="34">
        <v>536.4</v>
      </c>
      <c r="N9" s="32">
        <v>536.4</v>
      </c>
      <c r="O9" s="32"/>
      <c r="P9" s="32">
        <v>536.4</v>
      </c>
      <c r="Q9" s="37">
        <v>536.4</v>
      </c>
    </row>
    <row r="10" ht="24.75" customHeight="1" spans="1:17">
      <c r="A10" s="28" t="s">
        <v>890</v>
      </c>
      <c r="B10" s="28" t="s">
        <v>894</v>
      </c>
      <c r="C10" s="28" t="s">
        <v>895</v>
      </c>
      <c r="D10" s="32">
        <v>357.6</v>
      </c>
      <c r="E10" s="32">
        <v>357.6</v>
      </c>
      <c r="F10" s="32">
        <v>357.6</v>
      </c>
      <c r="G10" s="34">
        <v>357.6</v>
      </c>
      <c r="H10" s="34">
        <v>357.6</v>
      </c>
      <c r="I10" s="34">
        <v>357.6</v>
      </c>
      <c r="J10" s="34">
        <v>357.6</v>
      </c>
      <c r="K10" s="34">
        <v>357.6</v>
      </c>
      <c r="L10" s="34">
        <v>357.6</v>
      </c>
      <c r="M10" s="34">
        <v>357.6</v>
      </c>
      <c r="N10" s="32">
        <v>357.6</v>
      </c>
      <c r="O10" s="32"/>
      <c r="P10" s="32">
        <v>357.6</v>
      </c>
      <c r="Q10" s="37">
        <v>357.6</v>
      </c>
    </row>
    <row r="11" ht="24.75" customHeight="1" spans="1:17">
      <c r="A11" s="28" t="s">
        <v>890</v>
      </c>
      <c r="B11" s="28" t="s">
        <v>896</v>
      </c>
      <c r="C11" s="28" t="s">
        <v>897</v>
      </c>
      <c r="D11" s="32">
        <v>0</v>
      </c>
      <c r="E11" s="32">
        <v>0</v>
      </c>
      <c r="F11" s="32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2">
        <v>0</v>
      </c>
      <c r="O11" s="32"/>
      <c r="P11" s="32">
        <v>0</v>
      </c>
      <c r="Q11" s="37">
        <v>0</v>
      </c>
    </row>
    <row r="12" ht="24.75" customHeight="1" spans="1:17">
      <c r="A12" s="28" t="s">
        <v>890</v>
      </c>
      <c r="B12" s="28" t="s">
        <v>896</v>
      </c>
      <c r="C12" s="28" t="s">
        <v>898</v>
      </c>
      <c r="D12" s="32">
        <v>15</v>
      </c>
      <c r="E12" s="32">
        <v>15</v>
      </c>
      <c r="F12" s="32">
        <v>15</v>
      </c>
      <c r="G12" s="35">
        <v>15</v>
      </c>
      <c r="H12" s="35">
        <v>15</v>
      </c>
      <c r="I12" s="35">
        <v>15</v>
      </c>
      <c r="J12" s="35">
        <v>15</v>
      </c>
      <c r="K12" s="35">
        <v>15</v>
      </c>
      <c r="L12" s="35">
        <v>15</v>
      </c>
      <c r="M12" s="35">
        <v>15</v>
      </c>
      <c r="N12" s="32">
        <v>15</v>
      </c>
      <c r="O12" s="32"/>
      <c r="P12" s="32">
        <v>15</v>
      </c>
      <c r="Q12" s="37">
        <v>15</v>
      </c>
    </row>
    <row r="13" ht="35" customHeight="1" spans="1:17">
      <c r="A13" s="28" t="s">
        <v>890</v>
      </c>
      <c r="B13" s="28" t="s">
        <v>896</v>
      </c>
      <c r="C13" s="28" t="s">
        <v>899</v>
      </c>
      <c r="D13" s="32">
        <v>0</v>
      </c>
      <c r="E13" s="32">
        <v>0</v>
      </c>
      <c r="F13" s="32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2">
        <v>0</v>
      </c>
      <c r="O13" s="32"/>
      <c r="P13" s="32">
        <v>0</v>
      </c>
      <c r="Q13" s="37">
        <v>0</v>
      </c>
    </row>
    <row r="14" ht="24.75" customHeight="1" spans="1:17">
      <c r="A14" s="28" t="s">
        <v>900</v>
      </c>
      <c r="B14" s="36" t="s">
        <v>901</v>
      </c>
      <c r="C14" s="36" t="s">
        <v>884</v>
      </c>
      <c r="D14" s="32">
        <v>0</v>
      </c>
      <c r="E14" s="32">
        <v>20.37</v>
      </c>
      <c r="F14" s="32">
        <v>20.37</v>
      </c>
      <c r="G14" s="37">
        <v>20.37</v>
      </c>
      <c r="H14" s="37">
        <v>20.37</v>
      </c>
      <c r="I14" s="37">
        <v>20.37</v>
      </c>
      <c r="J14" s="37">
        <v>20.37</v>
      </c>
      <c r="K14" s="37">
        <v>20.37</v>
      </c>
      <c r="L14" s="37">
        <v>20.37</v>
      </c>
      <c r="M14" s="37">
        <v>20.37</v>
      </c>
      <c r="N14" s="32">
        <v>23.74</v>
      </c>
      <c r="O14" s="32"/>
      <c r="P14" s="32">
        <v>23.74</v>
      </c>
      <c r="Q14" s="37">
        <v>23.74</v>
      </c>
    </row>
    <row r="15" ht="24.75" customHeight="1" spans="1:17">
      <c r="A15" s="38" t="s">
        <v>902</v>
      </c>
      <c r="B15" s="39"/>
      <c r="C15" s="40"/>
      <c r="D15" s="37">
        <f t="shared" ref="D15:J15" si="0">SUM(D4:D14)</f>
        <v>2883.2</v>
      </c>
      <c r="E15" s="37">
        <f t="shared" si="0"/>
        <v>4380.25</v>
      </c>
      <c r="F15" s="37">
        <f t="shared" si="0"/>
        <v>4380.25</v>
      </c>
      <c r="G15" s="37">
        <f t="shared" si="0"/>
        <v>4308.73</v>
      </c>
      <c r="H15" s="37">
        <f t="shared" si="0"/>
        <v>4308.73</v>
      </c>
      <c r="I15" s="37">
        <f t="shared" si="0"/>
        <v>4308.73</v>
      </c>
      <c r="J15" s="37">
        <f t="shared" si="0"/>
        <v>4308.73</v>
      </c>
      <c r="K15" s="37">
        <f t="shared" ref="K15:T15" si="1">SUM(K4:K14)</f>
        <v>4308.73</v>
      </c>
      <c r="L15" s="37">
        <f t="shared" si="1"/>
        <v>4308.73</v>
      </c>
      <c r="M15" s="37">
        <f t="shared" si="1"/>
        <v>4308.73</v>
      </c>
      <c r="N15" s="37">
        <f t="shared" si="1"/>
        <v>4700.14</v>
      </c>
      <c r="O15" s="37">
        <f t="shared" si="1"/>
        <v>1290.69</v>
      </c>
      <c r="P15" s="37">
        <f t="shared" si="1"/>
        <v>4700.14</v>
      </c>
      <c r="Q15" s="37">
        <f t="shared" si="1"/>
        <v>4700.14</v>
      </c>
    </row>
    <row r="16" s="22" customFormat="1" ht="25" customHeight="1" spans="1:17">
      <c r="A16" s="29"/>
      <c r="B16" s="29"/>
      <c r="C16" s="29"/>
      <c r="D16" s="41"/>
      <c r="E16" s="29"/>
      <c r="F16" s="29"/>
      <c r="G16" s="29"/>
      <c r="H16" s="29"/>
      <c r="I16" s="29"/>
      <c r="J16" s="29"/>
      <c r="K16" s="29"/>
      <c r="L16" s="29"/>
      <c r="M16" s="45" t="s">
        <v>903</v>
      </c>
      <c r="N16" s="45" t="s">
        <v>903</v>
      </c>
      <c r="O16" s="29"/>
      <c r="P16" s="45" t="s">
        <v>903</v>
      </c>
      <c r="Q16" s="45" t="s">
        <v>903</v>
      </c>
    </row>
    <row r="17" ht="33" customHeight="1" spans="1:3">
      <c r="A17" s="25" t="s">
        <v>864</v>
      </c>
      <c r="B17" s="26"/>
      <c r="C17" s="26"/>
    </row>
    <row r="18" ht="30" customHeight="1" spans="1:15">
      <c r="A18" s="28">
        <v>1</v>
      </c>
      <c r="B18" s="28">
        <v>2</v>
      </c>
      <c r="C18" s="28">
        <v>3</v>
      </c>
      <c r="D18" s="42" t="s">
        <v>904</v>
      </c>
      <c r="E18" s="42" t="s">
        <v>905</v>
      </c>
      <c r="F18" s="42" t="s">
        <v>906</v>
      </c>
      <c r="G18" s="42" t="s">
        <v>907</v>
      </c>
      <c r="H18" s="42" t="s">
        <v>908</v>
      </c>
      <c r="I18" s="42" t="s">
        <v>909</v>
      </c>
      <c r="J18" s="42" t="s">
        <v>910</v>
      </c>
      <c r="K18" s="42" t="s">
        <v>911</v>
      </c>
      <c r="L18" s="42" t="s">
        <v>912</v>
      </c>
      <c r="M18" s="42" t="s">
        <v>913</v>
      </c>
      <c r="N18" s="42" t="s">
        <v>914</v>
      </c>
      <c r="O18" s="42" t="s">
        <v>915</v>
      </c>
    </row>
    <row r="19" ht="30" customHeight="1" spans="1:15">
      <c r="A19" s="28" t="s">
        <v>878</v>
      </c>
      <c r="B19" s="28" t="s">
        <v>879</v>
      </c>
      <c r="C19" s="28" t="s">
        <v>880</v>
      </c>
      <c r="D19" s="31" t="s">
        <v>881</v>
      </c>
      <c r="E19" s="31" t="s">
        <v>881</v>
      </c>
      <c r="F19" s="31" t="s">
        <v>881</v>
      </c>
      <c r="G19" s="31" t="s">
        <v>881</v>
      </c>
      <c r="H19" s="31" t="s">
        <v>881</v>
      </c>
      <c r="I19" s="31" t="s">
        <v>881</v>
      </c>
      <c r="J19" s="31" t="s">
        <v>881</v>
      </c>
      <c r="K19" s="31" t="s">
        <v>881</v>
      </c>
      <c r="L19" s="31" t="s">
        <v>881</v>
      </c>
      <c r="M19" s="31" t="s">
        <v>881</v>
      </c>
      <c r="N19" s="31" t="s">
        <v>881</v>
      </c>
      <c r="O19" s="31" t="s">
        <v>881</v>
      </c>
    </row>
    <row r="20" ht="30" customHeight="1" spans="1:15">
      <c r="A20" s="28" t="s">
        <v>882</v>
      </c>
      <c r="B20" s="28" t="s">
        <v>883</v>
      </c>
      <c r="C20" s="28" t="s">
        <v>884</v>
      </c>
      <c r="D20" s="32">
        <v>1780.65</v>
      </c>
      <c r="E20" s="32">
        <v>1780.65</v>
      </c>
      <c r="F20" s="32">
        <v>1780.65</v>
      </c>
      <c r="G20" s="32">
        <v>1780.65</v>
      </c>
      <c r="H20" s="32">
        <v>1780.65</v>
      </c>
      <c r="I20" s="32">
        <v>1780.65</v>
      </c>
      <c r="J20" s="32">
        <v>1780.65</v>
      </c>
      <c r="K20" s="32">
        <v>830.97</v>
      </c>
      <c r="L20" s="32">
        <v>1661.94</v>
      </c>
      <c r="M20" s="32">
        <v>1661.94</v>
      </c>
      <c r="N20" s="32">
        <v>1661.94</v>
      </c>
      <c r="O20" s="37">
        <v>1661.94</v>
      </c>
    </row>
    <row r="21" ht="30" customHeight="1" spans="1:15">
      <c r="A21" s="28" t="s">
        <v>882</v>
      </c>
      <c r="B21" s="28" t="s">
        <v>885</v>
      </c>
      <c r="C21" s="28" t="s">
        <v>886</v>
      </c>
      <c r="D21" s="32">
        <v>949.68</v>
      </c>
      <c r="E21" s="32">
        <v>949.68</v>
      </c>
      <c r="F21" s="32">
        <v>949.68</v>
      </c>
      <c r="G21" s="32">
        <v>949.68</v>
      </c>
      <c r="H21" s="32">
        <v>949.68</v>
      </c>
      <c r="I21" s="32">
        <v>949.68</v>
      </c>
      <c r="J21" s="32">
        <v>949.68</v>
      </c>
      <c r="K21" s="32">
        <v>949.68</v>
      </c>
      <c r="L21" s="32">
        <v>949.68</v>
      </c>
      <c r="M21" s="32">
        <v>949.68</v>
      </c>
      <c r="N21" s="32">
        <v>949.68</v>
      </c>
      <c r="O21" s="37">
        <v>949.68</v>
      </c>
    </row>
    <row r="22" ht="30" customHeight="1" spans="1:15">
      <c r="A22" s="28" t="s">
        <v>887</v>
      </c>
      <c r="B22" s="28" t="s">
        <v>888</v>
      </c>
      <c r="C22" s="28" t="s">
        <v>884</v>
      </c>
      <c r="D22" s="32">
        <v>59.37</v>
      </c>
      <c r="E22" s="32">
        <v>59.36</v>
      </c>
      <c r="F22" s="32">
        <v>59.36</v>
      </c>
      <c r="G22" s="32">
        <v>59.36</v>
      </c>
      <c r="H22" s="32">
        <v>59.36</v>
      </c>
      <c r="I22" s="32">
        <v>59.36</v>
      </c>
      <c r="J22" s="32">
        <v>59.36</v>
      </c>
      <c r="K22" s="32">
        <v>59.36</v>
      </c>
      <c r="L22" s="32">
        <v>59.36</v>
      </c>
      <c r="M22" s="32">
        <v>59.36</v>
      </c>
      <c r="N22" s="32">
        <v>59.36</v>
      </c>
      <c r="O22" s="37">
        <v>59.36</v>
      </c>
    </row>
    <row r="23" ht="30" customHeight="1" spans="1:15">
      <c r="A23" s="28" t="s">
        <v>887</v>
      </c>
      <c r="B23" s="28" t="s">
        <v>889</v>
      </c>
      <c r="C23" s="28" t="s">
        <v>886</v>
      </c>
      <c r="D23" s="32">
        <v>59.37</v>
      </c>
      <c r="E23" s="32">
        <v>59.37</v>
      </c>
      <c r="F23" s="32">
        <v>59.37</v>
      </c>
      <c r="G23" s="32">
        <v>59.37</v>
      </c>
      <c r="H23" s="32">
        <v>59.37</v>
      </c>
      <c r="I23" s="32">
        <v>59.37</v>
      </c>
      <c r="J23" s="32">
        <v>59.37</v>
      </c>
      <c r="K23" s="32">
        <v>59.37</v>
      </c>
      <c r="L23" s="32">
        <v>59.37</v>
      </c>
      <c r="M23" s="32">
        <v>59.37</v>
      </c>
      <c r="N23" s="32">
        <v>59.37</v>
      </c>
      <c r="O23" s="37">
        <v>59.37</v>
      </c>
    </row>
    <row r="24" ht="30" customHeight="1" spans="1:15">
      <c r="A24" s="28" t="s">
        <v>890</v>
      </c>
      <c r="B24" s="28" t="s">
        <v>891</v>
      </c>
      <c r="C24" s="28" t="s">
        <v>892</v>
      </c>
      <c r="D24" s="32">
        <v>1147.38</v>
      </c>
      <c r="E24" s="32">
        <v>1147.38</v>
      </c>
      <c r="F24" s="32">
        <v>1819.95</v>
      </c>
      <c r="G24" s="32">
        <v>1819.95</v>
      </c>
      <c r="H24" s="32">
        <v>1819.95</v>
      </c>
      <c r="I24" s="32">
        <v>1819.95</v>
      </c>
      <c r="J24" s="32">
        <v>1819.95</v>
      </c>
      <c r="K24" s="32">
        <v>1819.95</v>
      </c>
      <c r="L24" s="32">
        <v>1819.95</v>
      </c>
      <c r="M24" s="32">
        <v>1819.95</v>
      </c>
      <c r="N24" s="32">
        <v>1819.95</v>
      </c>
      <c r="O24" s="37">
        <v>1819.95</v>
      </c>
    </row>
    <row r="25" ht="30" customHeight="1" spans="1:15">
      <c r="A25" s="28" t="s">
        <v>890</v>
      </c>
      <c r="B25" s="28" t="s">
        <v>891</v>
      </c>
      <c r="C25" s="28" t="s">
        <v>893</v>
      </c>
      <c r="D25" s="32">
        <v>593.46</v>
      </c>
      <c r="E25" s="32">
        <v>593.46</v>
      </c>
      <c r="F25" s="32"/>
      <c r="G25" s="32"/>
      <c r="H25" s="32"/>
      <c r="I25" s="32"/>
      <c r="J25" s="32"/>
      <c r="K25" s="32"/>
      <c r="L25" s="32"/>
      <c r="M25" s="32"/>
      <c r="N25" s="32"/>
      <c r="O25" s="37"/>
    </row>
    <row r="26" ht="30" customHeight="1" spans="1:15">
      <c r="A26" s="28" t="s">
        <v>890</v>
      </c>
      <c r="B26" s="28" t="s">
        <v>894</v>
      </c>
      <c r="C26" s="28" t="s">
        <v>895</v>
      </c>
      <c r="D26" s="32">
        <v>395.64</v>
      </c>
      <c r="E26" s="32">
        <v>395.64</v>
      </c>
      <c r="F26" s="32">
        <v>395.64</v>
      </c>
      <c r="G26" s="32">
        <v>395.64</v>
      </c>
      <c r="H26" s="32">
        <v>395.64</v>
      </c>
      <c r="I26" s="32">
        <v>395.64</v>
      </c>
      <c r="J26" s="32">
        <v>395.64</v>
      </c>
      <c r="K26" s="32">
        <v>395.64</v>
      </c>
      <c r="L26" s="32">
        <v>395.64</v>
      </c>
      <c r="M26" s="32">
        <v>395.64</v>
      </c>
      <c r="N26" s="32">
        <v>395.64</v>
      </c>
      <c r="O26" s="37">
        <v>395.64</v>
      </c>
    </row>
    <row r="27" ht="30" customHeight="1" spans="1:15">
      <c r="A27" s="28" t="s">
        <v>890</v>
      </c>
      <c r="B27" s="28" t="s">
        <v>896</v>
      </c>
      <c r="C27" s="28" t="s">
        <v>897</v>
      </c>
      <c r="D27" s="4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7"/>
    </row>
    <row r="28" ht="30" customHeight="1" spans="1:15">
      <c r="A28" s="28" t="s">
        <v>890</v>
      </c>
      <c r="B28" s="28" t="s">
        <v>896</v>
      </c>
      <c r="C28" s="28" t="s">
        <v>898</v>
      </c>
      <c r="D28" s="32">
        <v>15</v>
      </c>
      <c r="E28" s="32">
        <v>15</v>
      </c>
      <c r="F28" s="32"/>
      <c r="G28" s="32"/>
      <c r="H28" s="32"/>
      <c r="I28" s="32"/>
      <c r="J28" s="32"/>
      <c r="K28" s="32"/>
      <c r="L28" s="32"/>
      <c r="M28" s="32"/>
      <c r="N28" s="32"/>
      <c r="O28" s="37"/>
    </row>
    <row r="29" ht="33" customHeight="1" spans="1:15">
      <c r="A29" s="28" t="s">
        <v>890</v>
      </c>
      <c r="B29" s="28" t="s">
        <v>896</v>
      </c>
      <c r="C29" s="28" t="s">
        <v>899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7"/>
    </row>
    <row r="30" ht="30" customHeight="1" spans="1:15">
      <c r="A30" s="28" t="s">
        <v>900</v>
      </c>
      <c r="B30" s="36" t="s">
        <v>901</v>
      </c>
      <c r="C30" s="36" t="s">
        <v>884</v>
      </c>
      <c r="D30" s="32">
        <v>23.74</v>
      </c>
      <c r="E30" s="32">
        <v>23.74</v>
      </c>
      <c r="F30" s="32">
        <v>23.74</v>
      </c>
      <c r="G30" s="32">
        <v>23.74</v>
      </c>
      <c r="H30" s="32">
        <v>23.74</v>
      </c>
      <c r="I30" s="32">
        <v>23.74</v>
      </c>
      <c r="J30" s="32">
        <v>23.74</v>
      </c>
      <c r="K30" s="32">
        <v>23.74</v>
      </c>
      <c r="L30" s="32">
        <v>23.74</v>
      </c>
      <c r="M30" s="32">
        <v>23.74</v>
      </c>
      <c r="N30" s="32">
        <v>23.74</v>
      </c>
      <c r="O30" s="37">
        <v>23.74</v>
      </c>
    </row>
    <row r="31" ht="30" customHeight="1" spans="1:15">
      <c r="A31" s="38" t="s">
        <v>902</v>
      </c>
      <c r="B31" s="39"/>
      <c r="C31" s="40"/>
      <c r="D31" s="37">
        <f>SUM(D20:D30)</f>
        <v>5024.29</v>
      </c>
      <c r="E31" s="32">
        <f>SUM(E20:E30)</f>
        <v>5024.28</v>
      </c>
      <c r="F31" s="32">
        <f>SUM(F20:F30)</f>
        <v>5088.39</v>
      </c>
      <c r="G31" s="32">
        <f t="shared" ref="G31:T31" si="2">SUM(G20:G30)</f>
        <v>5088.39</v>
      </c>
      <c r="H31" s="32">
        <f t="shared" si="2"/>
        <v>5088.39</v>
      </c>
      <c r="I31" s="32">
        <f t="shared" si="2"/>
        <v>5088.39</v>
      </c>
      <c r="J31" s="32">
        <f t="shared" si="2"/>
        <v>5088.39</v>
      </c>
      <c r="K31" s="32">
        <f t="shared" si="2"/>
        <v>4138.71</v>
      </c>
      <c r="L31" s="32">
        <f t="shared" si="2"/>
        <v>4969.68</v>
      </c>
      <c r="M31" s="32">
        <f t="shared" si="2"/>
        <v>4969.68</v>
      </c>
      <c r="N31" s="32">
        <f t="shared" si="2"/>
        <v>4969.68</v>
      </c>
      <c r="O31" s="37">
        <f t="shared" si="2"/>
        <v>4969.68</v>
      </c>
    </row>
    <row r="32" ht="25" customHeight="1" spans="1:15">
      <c r="A32" s="44"/>
      <c r="B32" s="44"/>
      <c r="C32" s="44"/>
      <c r="D32" s="45" t="s">
        <v>903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 ht="36" customHeight="1" spans="1:3">
      <c r="A33" s="25" t="s">
        <v>864</v>
      </c>
      <c r="B33" s="26"/>
      <c r="C33" s="26"/>
    </row>
    <row r="34" ht="25" customHeight="1" spans="1:15">
      <c r="A34" s="28">
        <v>1</v>
      </c>
      <c r="B34" s="28">
        <v>2</v>
      </c>
      <c r="C34" s="28">
        <v>3</v>
      </c>
      <c r="D34" s="42" t="s">
        <v>916</v>
      </c>
      <c r="E34" s="42" t="s">
        <v>917</v>
      </c>
      <c r="F34" s="42" t="s">
        <v>918</v>
      </c>
      <c r="G34" s="42" t="s">
        <v>919</v>
      </c>
      <c r="H34" s="42" t="s">
        <v>920</v>
      </c>
      <c r="I34" s="42" t="s">
        <v>921</v>
      </c>
      <c r="J34" s="42" t="s">
        <v>922</v>
      </c>
      <c r="K34" s="42" t="s">
        <v>923</v>
      </c>
      <c r="L34" s="42" t="s">
        <v>924</v>
      </c>
      <c r="M34" s="42" t="s">
        <v>925</v>
      </c>
      <c r="N34" s="42" t="s">
        <v>926</v>
      </c>
      <c r="O34" s="42" t="s">
        <v>927</v>
      </c>
    </row>
    <row r="35" ht="25" customHeight="1" spans="1:15">
      <c r="A35" s="28" t="s">
        <v>878</v>
      </c>
      <c r="B35" s="28" t="s">
        <v>879</v>
      </c>
      <c r="C35" s="28" t="s">
        <v>880</v>
      </c>
      <c r="D35" s="31" t="s">
        <v>881</v>
      </c>
      <c r="E35" s="31" t="s">
        <v>881</v>
      </c>
      <c r="F35" s="31" t="s">
        <v>881</v>
      </c>
      <c r="G35" s="31" t="s">
        <v>881</v>
      </c>
      <c r="H35" s="31" t="s">
        <v>881</v>
      </c>
      <c r="I35" s="31" t="s">
        <v>881</v>
      </c>
      <c r="J35" s="31" t="s">
        <v>881</v>
      </c>
      <c r="K35" s="31" t="s">
        <v>881</v>
      </c>
      <c r="L35" s="31" t="s">
        <v>881</v>
      </c>
      <c r="M35" s="31" t="s">
        <v>881</v>
      </c>
      <c r="N35" s="31" t="s">
        <v>881</v>
      </c>
      <c r="O35" s="31" t="s">
        <v>881</v>
      </c>
    </row>
    <row r="36" ht="25" customHeight="1" spans="1:15">
      <c r="A36" s="28" t="s">
        <v>882</v>
      </c>
      <c r="B36" s="28" t="s">
        <v>883</v>
      </c>
      <c r="C36" s="28" t="s">
        <v>884</v>
      </c>
      <c r="D36" s="37">
        <v>1661.94</v>
      </c>
      <c r="E36" s="37">
        <v>1661.94</v>
      </c>
      <c r="F36" s="37">
        <v>1661.94</v>
      </c>
      <c r="G36" s="37">
        <v>1661.94</v>
      </c>
      <c r="H36" s="37">
        <v>1661.94</v>
      </c>
      <c r="I36" s="37">
        <v>1661.94</v>
      </c>
      <c r="J36" s="37">
        <v>1661.94</v>
      </c>
      <c r="K36" s="37">
        <v>1661.94</v>
      </c>
      <c r="L36" s="37">
        <v>1107.96</v>
      </c>
      <c r="M36" s="37">
        <v>1107.96</v>
      </c>
      <c r="N36" s="37">
        <v>1107.96</v>
      </c>
      <c r="O36" s="37">
        <v>1249.36</v>
      </c>
    </row>
    <row r="37" ht="25" customHeight="1" spans="1:15">
      <c r="A37" s="28" t="s">
        <v>882</v>
      </c>
      <c r="B37" s="28" t="s">
        <v>885</v>
      </c>
      <c r="C37" s="28" t="s">
        <v>886</v>
      </c>
      <c r="D37" s="37">
        <v>949.68</v>
      </c>
      <c r="E37" s="37">
        <v>949.68</v>
      </c>
      <c r="F37" s="37">
        <v>949.68</v>
      </c>
      <c r="G37" s="37">
        <v>949.68</v>
      </c>
      <c r="H37" s="37">
        <v>949.68</v>
      </c>
      <c r="I37" s="37">
        <v>949.68</v>
      </c>
      <c r="J37" s="37">
        <v>949.68</v>
      </c>
      <c r="K37" s="37">
        <v>949.68</v>
      </c>
      <c r="L37" s="37">
        <v>633.12</v>
      </c>
      <c r="M37" s="37">
        <v>633.12</v>
      </c>
      <c r="N37" s="37">
        <v>633.12</v>
      </c>
      <c r="O37" s="37">
        <v>713.92</v>
      </c>
    </row>
    <row r="38" ht="25" customHeight="1" spans="1:15">
      <c r="A38" s="28" t="s">
        <v>887</v>
      </c>
      <c r="B38" s="28" t="s">
        <v>888</v>
      </c>
      <c r="C38" s="28" t="s">
        <v>884</v>
      </c>
      <c r="D38" s="37">
        <v>59.36</v>
      </c>
      <c r="E38" s="37">
        <v>59.36</v>
      </c>
      <c r="F38" s="37">
        <v>59.36</v>
      </c>
      <c r="G38" s="37">
        <v>59.36</v>
      </c>
      <c r="H38" s="37">
        <v>59.36</v>
      </c>
      <c r="I38" s="37">
        <v>59.36</v>
      </c>
      <c r="J38" s="37">
        <v>59.37</v>
      </c>
      <c r="K38" s="37">
        <v>59.37</v>
      </c>
      <c r="L38" s="37">
        <v>39.58</v>
      </c>
      <c r="M38" s="37">
        <v>39.58</v>
      </c>
      <c r="N38" s="37">
        <v>39.58</v>
      </c>
      <c r="O38" s="37">
        <v>44.62</v>
      </c>
    </row>
    <row r="39" ht="25" customHeight="1" spans="1:15">
      <c r="A39" s="28" t="s">
        <v>887</v>
      </c>
      <c r="B39" s="28" t="s">
        <v>889</v>
      </c>
      <c r="C39" s="28" t="s">
        <v>886</v>
      </c>
      <c r="D39" s="37">
        <v>59.37</v>
      </c>
      <c r="E39" s="37">
        <v>59.37</v>
      </c>
      <c r="F39" s="37">
        <v>59.37</v>
      </c>
      <c r="G39" s="37">
        <v>59.37</v>
      </c>
      <c r="H39" s="37">
        <v>59.37</v>
      </c>
      <c r="I39" s="37">
        <v>59.37</v>
      </c>
      <c r="J39" s="37">
        <v>59.37</v>
      </c>
      <c r="K39" s="37">
        <v>59.37</v>
      </c>
      <c r="L39" s="37">
        <v>39.58</v>
      </c>
      <c r="M39" s="37">
        <v>39.58</v>
      </c>
      <c r="N39" s="37">
        <v>39.58</v>
      </c>
      <c r="O39" s="37">
        <v>44.62</v>
      </c>
    </row>
    <row r="40" ht="25" customHeight="1" spans="1:15">
      <c r="A40" s="28" t="s">
        <v>890</v>
      </c>
      <c r="B40" s="28" t="s">
        <v>891</v>
      </c>
      <c r="C40" s="28" t="s">
        <v>892</v>
      </c>
      <c r="D40" s="37">
        <v>1819.95</v>
      </c>
      <c r="E40" s="37">
        <v>1819.95</v>
      </c>
      <c r="F40" s="37">
        <v>1819.95</v>
      </c>
      <c r="G40" s="37">
        <v>1819.95</v>
      </c>
      <c r="H40" s="37">
        <v>1819.95</v>
      </c>
      <c r="I40" s="37">
        <v>1819.95</v>
      </c>
      <c r="J40" s="37">
        <v>1092.12</v>
      </c>
      <c r="K40" s="37">
        <v>1092.12</v>
      </c>
      <c r="L40" s="37">
        <v>728.08</v>
      </c>
      <c r="M40" s="37">
        <v>728.08</v>
      </c>
      <c r="N40" s="37">
        <v>728.08</v>
      </c>
      <c r="O40" s="37">
        <v>821</v>
      </c>
    </row>
    <row r="41" ht="25" customHeight="1" spans="1:15">
      <c r="A41" s="28" t="s">
        <v>890</v>
      </c>
      <c r="B41" s="28" t="s">
        <v>891</v>
      </c>
      <c r="C41" s="28" t="s">
        <v>893</v>
      </c>
      <c r="D41" s="37"/>
      <c r="E41" s="37"/>
      <c r="F41" s="37"/>
      <c r="G41" s="37"/>
      <c r="H41" s="37"/>
      <c r="I41" s="37"/>
      <c r="J41" s="43"/>
      <c r="K41" s="43"/>
      <c r="L41" s="37"/>
      <c r="M41" s="37"/>
      <c r="N41" s="37"/>
      <c r="O41" s="37"/>
    </row>
    <row r="42" ht="25" customHeight="1" spans="1:15">
      <c r="A42" s="28" t="s">
        <v>890</v>
      </c>
      <c r="B42" s="28" t="s">
        <v>894</v>
      </c>
      <c r="C42" s="28" t="s">
        <v>895</v>
      </c>
      <c r="D42" s="37">
        <v>395.64</v>
      </c>
      <c r="E42" s="37">
        <v>395.64</v>
      </c>
      <c r="F42" s="37">
        <v>395.64</v>
      </c>
      <c r="G42" s="37">
        <v>395.64</v>
      </c>
      <c r="H42" s="37">
        <v>395.64</v>
      </c>
      <c r="I42" s="37">
        <v>395.64</v>
      </c>
      <c r="J42" s="37">
        <v>237.42</v>
      </c>
      <c r="K42" s="37">
        <v>237.42</v>
      </c>
      <c r="L42" s="37">
        <v>158.28</v>
      </c>
      <c r="M42" s="37">
        <v>158.28</v>
      </c>
      <c r="N42" s="37">
        <v>158.28</v>
      </c>
      <c r="O42" s="37">
        <v>178.48</v>
      </c>
    </row>
    <row r="43" ht="25" customHeight="1" spans="1:15">
      <c r="A43" s="28" t="s">
        <v>890</v>
      </c>
      <c r="B43" s="28" t="s">
        <v>896</v>
      </c>
      <c r="C43" s="28" t="s">
        <v>897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ht="25" customHeight="1" spans="1:15">
      <c r="A44" s="28" t="s">
        <v>890</v>
      </c>
      <c r="B44" s="28" t="s">
        <v>896</v>
      </c>
      <c r="C44" s="28" t="s">
        <v>898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</row>
    <row r="45" ht="33" customHeight="1" spans="1:15">
      <c r="A45" s="28" t="s">
        <v>890</v>
      </c>
      <c r="B45" s="28" t="s">
        <v>896</v>
      </c>
      <c r="C45" s="28" t="s">
        <v>899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ht="25" customHeight="1" spans="1:15">
      <c r="A46" s="28" t="s">
        <v>900</v>
      </c>
      <c r="B46" s="36" t="s">
        <v>901</v>
      </c>
      <c r="C46" s="36" t="s">
        <v>884</v>
      </c>
      <c r="D46" s="37">
        <v>23.74</v>
      </c>
      <c r="E46" s="37">
        <v>23.74</v>
      </c>
      <c r="F46" s="37">
        <v>23.74</v>
      </c>
      <c r="G46" s="37">
        <v>23.74</v>
      </c>
      <c r="H46" s="37">
        <v>23.74</v>
      </c>
      <c r="I46" s="37">
        <v>23.74</v>
      </c>
      <c r="J46" s="37">
        <v>23.73</v>
      </c>
      <c r="K46" s="37">
        <v>23.73</v>
      </c>
      <c r="L46" s="37">
        <v>15.82</v>
      </c>
      <c r="M46" s="37">
        <v>15.82</v>
      </c>
      <c r="N46" s="37">
        <v>15.82</v>
      </c>
      <c r="O46" s="37">
        <v>17.84</v>
      </c>
    </row>
    <row r="47" ht="25" customHeight="1" spans="1:15">
      <c r="A47" s="38" t="s">
        <v>902</v>
      </c>
      <c r="B47" s="39"/>
      <c r="C47" s="40"/>
      <c r="D47" s="37">
        <f>SUM(D36:D46)</f>
        <v>4969.68</v>
      </c>
      <c r="E47" s="37">
        <f>SUM(E36:E46)</f>
        <v>4969.68</v>
      </c>
      <c r="F47" s="37">
        <f>SUM(F36:F46)</f>
        <v>4969.68</v>
      </c>
      <c r="G47" s="37">
        <f>SUM(G36:G46)</f>
        <v>4969.68</v>
      </c>
      <c r="H47" s="37">
        <f>SUM(H36:H46)</f>
        <v>4969.68</v>
      </c>
      <c r="I47" s="37">
        <f t="shared" ref="I47:O47" si="3">SUM(I36:I46)</f>
        <v>4969.68</v>
      </c>
      <c r="J47" s="37">
        <f t="shared" si="3"/>
        <v>4083.63</v>
      </c>
      <c r="K47" s="37">
        <f t="shared" si="3"/>
        <v>4083.63</v>
      </c>
      <c r="L47" s="37">
        <f t="shared" si="3"/>
        <v>2722.42</v>
      </c>
      <c r="M47" s="37">
        <f t="shared" si="3"/>
        <v>2722.42</v>
      </c>
      <c r="N47" s="37">
        <f t="shared" si="3"/>
        <v>2722.42</v>
      </c>
      <c r="O47" s="37">
        <f t="shared" si="3"/>
        <v>3069.84</v>
      </c>
    </row>
    <row r="48" ht="25" customHeight="1" spans="1:15">
      <c r="A48" s="44"/>
      <c r="B48" s="44"/>
      <c r="C48" s="44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ht="36" customHeight="1" spans="1:3">
      <c r="A49" s="25" t="s">
        <v>864</v>
      </c>
      <c r="B49" s="26"/>
      <c r="C49" s="26"/>
    </row>
    <row r="50" ht="25" customHeight="1" spans="1:15">
      <c r="A50" s="28">
        <v>1</v>
      </c>
      <c r="B50" s="28">
        <v>2</v>
      </c>
      <c r="C50" s="28">
        <v>3</v>
      </c>
      <c r="D50" s="42" t="s">
        <v>928</v>
      </c>
      <c r="E50" s="42" t="s">
        <v>929</v>
      </c>
      <c r="F50" s="42" t="s">
        <v>930</v>
      </c>
      <c r="G50" s="42" t="s">
        <v>931</v>
      </c>
      <c r="H50" s="42" t="s">
        <v>932</v>
      </c>
      <c r="I50" s="42" t="s">
        <v>933</v>
      </c>
      <c r="J50" s="42" t="s">
        <v>934</v>
      </c>
      <c r="K50" s="42" t="s">
        <v>935</v>
      </c>
      <c r="L50" s="42" t="s">
        <v>936</v>
      </c>
      <c r="M50" s="42" t="s">
        <v>937</v>
      </c>
      <c r="N50" s="42" t="s">
        <v>938</v>
      </c>
      <c r="O50" s="42" t="s">
        <v>939</v>
      </c>
    </row>
    <row r="51" ht="25" customHeight="1" spans="1:15">
      <c r="A51" s="28" t="s">
        <v>878</v>
      </c>
      <c r="B51" s="28" t="s">
        <v>879</v>
      </c>
      <c r="C51" s="28" t="s">
        <v>880</v>
      </c>
      <c r="D51" s="31" t="s">
        <v>881</v>
      </c>
      <c r="E51" s="31" t="s">
        <v>881</v>
      </c>
      <c r="F51" s="31" t="s">
        <v>881</v>
      </c>
      <c r="G51" s="31" t="s">
        <v>881</v>
      </c>
      <c r="H51" s="31" t="s">
        <v>881</v>
      </c>
      <c r="I51" s="31" t="s">
        <v>881</v>
      </c>
      <c r="J51" s="31" t="s">
        <v>881</v>
      </c>
      <c r="K51" s="31" t="s">
        <v>881</v>
      </c>
      <c r="L51" s="31" t="s">
        <v>881</v>
      </c>
      <c r="M51" s="31" t="s">
        <v>881</v>
      </c>
      <c r="N51" s="31" t="s">
        <v>881</v>
      </c>
      <c r="O51" s="31" t="s">
        <v>881</v>
      </c>
    </row>
    <row r="52" ht="25" customHeight="1" spans="1:15">
      <c r="A52" s="28" t="s">
        <v>882</v>
      </c>
      <c r="B52" s="28" t="s">
        <v>883</v>
      </c>
      <c r="C52" s="28" t="s">
        <v>884</v>
      </c>
      <c r="D52" s="37">
        <v>1249.36</v>
      </c>
      <c r="E52" s="37">
        <v>1249.36</v>
      </c>
      <c r="F52" s="37">
        <v>1249.36</v>
      </c>
      <c r="G52" s="37">
        <v>1338.6</v>
      </c>
      <c r="H52" s="37">
        <v>1338.6</v>
      </c>
      <c r="I52" s="37">
        <v>1338.6</v>
      </c>
      <c r="J52" s="37">
        <v>1338.6</v>
      </c>
      <c r="K52" s="37">
        <v>1338.6</v>
      </c>
      <c r="L52" s="37">
        <v>1338.6</v>
      </c>
      <c r="M52" s="37">
        <v>1443.6</v>
      </c>
      <c r="N52" s="37">
        <v>1443.6</v>
      </c>
      <c r="O52" s="37">
        <v>1443.6</v>
      </c>
    </row>
    <row r="53" ht="25" customHeight="1" spans="1:15">
      <c r="A53" s="28" t="s">
        <v>882</v>
      </c>
      <c r="B53" s="28" t="s">
        <v>885</v>
      </c>
      <c r="C53" s="28" t="s">
        <v>886</v>
      </c>
      <c r="D53" s="37">
        <v>713.92</v>
      </c>
      <c r="E53" s="37">
        <v>713.92</v>
      </c>
      <c r="F53" s="37">
        <v>713.92</v>
      </c>
      <c r="G53" s="37">
        <v>713.92</v>
      </c>
      <c r="H53" s="37">
        <v>713.92</v>
      </c>
      <c r="I53" s="37">
        <v>713.92</v>
      </c>
      <c r="J53" s="37">
        <v>713.92</v>
      </c>
      <c r="K53" s="37">
        <v>713.92</v>
      </c>
      <c r="L53" s="37">
        <v>713.92</v>
      </c>
      <c r="M53" s="37">
        <v>769.92</v>
      </c>
      <c r="N53" s="37">
        <v>769.92</v>
      </c>
      <c r="O53" s="37">
        <v>769.92</v>
      </c>
    </row>
    <row r="54" ht="25" customHeight="1" spans="1:15">
      <c r="A54" s="28" t="s">
        <v>887</v>
      </c>
      <c r="B54" s="28" t="s">
        <v>888</v>
      </c>
      <c r="C54" s="28" t="s">
        <v>884</v>
      </c>
      <c r="D54" s="37">
        <v>44.62</v>
      </c>
      <c r="E54" s="37">
        <v>44.62</v>
      </c>
      <c r="F54" s="37">
        <v>44.62</v>
      </c>
      <c r="G54" s="37">
        <v>44.62</v>
      </c>
      <c r="H54" s="37">
        <v>44.62</v>
      </c>
      <c r="I54" s="37">
        <v>44.62</v>
      </c>
      <c r="J54" s="37">
        <v>44.62</v>
      </c>
      <c r="K54" s="37">
        <v>44.62</v>
      </c>
      <c r="L54" s="37">
        <v>44.62</v>
      </c>
      <c r="M54" s="37">
        <v>48.12</v>
      </c>
      <c r="N54" s="37">
        <v>48.12</v>
      </c>
      <c r="O54" s="37">
        <v>48.12</v>
      </c>
    </row>
    <row r="55" ht="25" customHeight="1" spans="1:15">
      <c r="A55" s="28" t="s">
        <v>887</v>
      </c>
      <c r="B55" s="28" t="s">
        <v>889</v>
      </c>
      <c r="C55" s="28" t="s">
        <v>886</v>
      </c>
      <c r="D55" s="37">
        <v>44.62</v>
      </c>
      <c r="E55" s="37">
        <v>44.62</v>
      </c>
      <c r="F55" s="37">
        <v>44.62</v>
      </c>
      <c r="G55" s="37">
        <v>44.62</v>
      </c>
      <c r="H55" s="37">
        <v>44.62</v>
      </c>
      <c r="I55" s="37">
        <v>44.62</v>
      </c>
      <c r="J55" s="37">
        <v>44.62</v>
      </c>
      <c r="K55" s="37">
        <v>44.62</v>
      </c>
      <c r="L55" s="37">
        <v>44.62</v>
      </c>
      <c r="M55" s="37">
        <v>48.12</v>
      </c>
      <c r="N55" s="37">
        <v>48.12</v>
      </c>
      <c r="O55" s="37">
        <v>48.12</v>
      </c>
    </row>
    <row r="56" ht="25" customHeight="1" spans="1:15">
      <c r="A56" s="28" t="s">
        <v>890</v>
      </c>
      <c r="B56" s="28" t="s">
        <v>891</v>
      </c>
      <c r="C56" s="28" t="s">
        <v>892</v>
      </c>
      <c r="D56" s="37">
        <v>821</v>
      </c>
      <c r="E56" s="37">
        <v>821</v>
      </c>
      <c r="F56" s="37">
        <v>821</v>
      </c>
      <c r="G56" s="37">
        <v>821</v>
      </c>
      <c r="H56" s="37">
        <v>821</v>
      </c>
      <c r="I56" s="37">
        <v>410.5</v>
      </c>
      <c r="J56" s="37">
        <v>410.5</v>
      </c>
      <c r="K56" s="37">
        <v>410.5</v>
      </c>
      <c r="L56" s="37">
        <v>410.5</v>
      </c>
      <c r="M56" s="37">
        <v>442.7</v>
      </c>
      <c r="N56" s="37">
        <v>442.7</v>
      </c>
      <c r="O56" s="37">
        <v>442.7</v>
      </c>
    </row>
    <row r="57" ht="25" customHeight="1" spans="1:15">
      <c r="A57" s="28" t="s">
        <v>890</v>
      </c>
      <c r="B57" s="28" t="s">
        <v>891</v>
      </c>
      <c r="C57" s="28" t="s">
        <v>893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</row>
    <row r="58" ht="25" customHeight="1" spans="1:15">
      <c r="A58" s="28" t="s">
        <v>890</v>
      </c>
      <c r="B58" s="28" t="s">
        <v>894</v>
      </c>
      <c r="C58" s="28" t="s">
        <v>895</v>
      </c>
      <c r="D58" s="37">
        <v>178.48</v>
      </c>
      <c r="E58" s="37">
        <v>178.48</v>
      </c>
      <c r="F58" s="37">
        <v>178.48</v>
      </c>
      <c r="G58" s="37">
        <v>178.48</v>
      </c>
      <c r="H58" s="37">
        <v>178.48</v>
      </c>
      <c r="I58" s="37">
        <v>89.24</v>
      </c>
      <c r="J58" s="37">
        <v>89.24</v>
      </c>
      <c r="K58" s="37">
        <v>89.24</v>
      </c>
      <c r="L58" s="37">
        <v>89.24</v>
      </c>
      <c r="M58" s="37">
        <v>96.24</v>
      </c>
      <c r="N58" s="37">
        <v>96.24</v>
      </c>
      <c r="O58" s="37">
        <v>96.24</v>
      </c>
    </row>
    <row r="59" ht="25" customHeight="1" spans="1:15">
      <c r="A59" s="28" t="s">
        <v>890</v>
      </c>
      <c r="B59" s="28" t="s">
        <v>896</v>
      </c>
      <c r="C59" s="28" t="s">
        <v>897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</row>
    <row r="60" ht="25" customHeight="1" spans="1:15">
      <c r="A60" s="28" t="s">
        <v>890</v>
      </c>
      <c r="B60" s="28" t="s">
        <v>896</v>
      </c>
      <c r="C60" s="28" t="s">
        <v>898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</row>
    <row r="61" ht="38" customHeight="1" spans="1:15">
      <c r="A61" s="28" t="s">
        <v>890</v>
      </c>
      <c r="B61" s="28" t="s">
        <v>896</v>
      </c>
      <c r="C61" s="28" t="s">
        <v>899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</row>
    <row r="62" ht="25" customHeight="1" spans="1:15">
      <c r="A62" s="28" t="s">
        <v>900</v>
      </c>
      <c r="B62" s="36" t="s">
        <v>901</v>
      </c>
      <c r="C62" s="36" t="s">
        <v>884</v>
      </c>
      <c r="D62" s="37">
        <v>17.84</v>
      </c>
      <c r="E62" s="37">
        <v>17.84</v>
      </c>
      <c r="F62" s="37">
        <v>17.84</v>
      </c>
      <c r="G62" s="37">
        <v>24.98</v>
      </c>
      <c r="H62" s="37">
        <v>24.98</v>
      </c>
      <c r="I62" s="37">
        <v>24.98</v>
      </c>
      <c r="J62" s="37">
        <v>24.98</v>
      </c>
      <c r="K62" s="37">
        <v>24.98</v>
      </c>
      <c r="L62" s="37">
        <v>24.98</v>
      </c>
      <c r="M62" s="37">
        <v>26.94</v>
      </c>
      <c r="N62" s="37">
        <v>26.94</v>
      </c>
      <c r="O62" s="37">
        <v>26.94</v>
      </c>
    </row>
    <row r="63" ht="25" customHeight="1" spans="1:15">
      <c r="A63" s="38" t="s">
        <v>902</v>
      </c>
      <c r="B63" s="39"/>
      <c r="C63" s="40"/>
      <c r="D63" s="37">
        <f>SUM(D52:D62)</f>
        <v>3069.84</v>
      </c>
      <c r="E63" s="37">
        <f>SUM(E52:E62)</f>
        <v>3069.84</v>
      </c>
      <c r="F63" s="37">
        <f t="shared" ref="F63:O63" si="4">SUM(F52:F62)</f>
        <v>3069.84</v>
      </c>
      <c r="G63" s="37">
        <f t="shared" si="4"/>
        <v>3166.22</v>
      </c>
      <c r="H63" s="37">
        <f t="shared" si="4"/>
        <v>3166.22</v>
      </c>
      <c r="I63" s="37">
        <f t="shared" si="4"/>
        <v>2666.48</v>
      </c>
      <c r="J63" s="37">
        <f t="shared" si="4"/>
        <v>2666.48</v>
      </c>
      <c r="K63" s="37">
        <f t="shared" si="4"/>
        <v>2666.48</v>
      </c>
      <c r="L63" s="37">
        <f t="shared" si="4"/>
        <v>2666.48</v>
      </c>
      <c r="M63" s="37">
        <f t="shared" si="4"/>
        <v>2875.64</v>
      </c>
      <c r="N63" s="37">
        <f t="shared" si="4"/>
        <v>2875.64</v>
      </c>
      <c r="O63" s="37">
        <f t="shared" si="4"/>
        <v>2875.64</v>
      </c>
    </row>
    <row r="64" ht="25" customHeight="1" spans="1:15">
      <c r="A64" s="44"/>
      <c r="B64" s="44"/>
      <c r="C64" s="44"/>
      <c r="D64" s="29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</row>
    <row r="65" ht="25" customHeight="1" spans="1:3">
      <c r="A65" s="25" t="s">
        <v>864</v>
      </c>
      <c r="B65" s="26"/>
      <c r="C65" s="26"/>
    </row>
    <row r="66" ht="25" customHeight="1" spans="1:15">
      <c r="A66" s="28">
        <v>1</v>
      </c>
      <c r="B66" s="28">
        <v>2</v>
      </c>
      <c r="C66" s="28">
        <v>3</v>
      </c>
      <c r="D66" s="42" t="s">
        <v>940</v>
      </c>
      <c r="E66" s="42" t="s">
        <v>941</v>
      </c>
      <c r="F66" s="42" t="s">
        <v>942</v>
      </c>
      <c r="G66" s="42" t="s">
        <v>943</v>
      </c>
      <c r="H66" s="42" t="s">
        <v>944</v>
      </c>
      <c r="I66" s="42" t="s">
        <v>945</v>
      </c>
      <c r="J66" s="42" t="s">
        <v>946</v>
      </c>
      <c r="K66" s="42" t="s">
        <v>947</v>
      </c>
      <c r="L66" s="42" t="s">
        <v>948</v>
      </c>
      <c r="M66" s="42" t="s">
        <v>949</v>
      </c>
      <c r="N66" s="42" t="s">
        <v>950</v>
      </c>
      <c r="O66" s="42" t="s">
        <v>951</v>
      </c>
    </row>
    <row r="67" ht="25" customHeight="1" spans="1:15">
      <c r="A67" s="28" t="s">
        <v>878</v>
      </c>
      <c r="B67" s="28" t="s">
        <v>879</v>
      </c>
      <c r="C67" s="28" t="s">
        <v>880</v>
      </c>
      <c r="D67" s="31" t="s">
        <v>881</v>
      </c>
      <c r="E67" s="31" t="s">
        <v>881</v>
      </c>
      <c r="F67" s="31" t="s">
        <v>881</v>
      </c>
      <c r="G67" s="31" t="s">
        <v>881</v>
      </c>
      <c r="H67" s="31" t="s">
        <v>881</v>
      </c>
      <c r="I67" s="31" t="s">
        <v>881</v>
      </c>
      <c r="J67" s="31" t="s">
        <v>881</v>
      </c>
      <c r="K67" s="31" t="s">
        <v>881</v>
      </c>
      <c r="L67" s="31" t="s">
        <v>881</v>
      </c>
      <c r="M67" s="31" t="s">
        <v>881</v>
      </c>
      <c r="N67" s="31" t="s">
        <v>881</v>
      </c>
      <c r="O67" s="31" t="s">
        <v>881</v>
      </c>
    </row>
    <row r="68" ht="25" customHeight="1" spans="1:15">
      <c r="A68" s="28" t="s">
        <v>882</v>
      </c>
      <c r="B68" s="28" t="s">
        <v>883</v>
      </c>
      <c r="C68" s="28" t="s">
        <v>884</v>
      </c>
      <c r="D68" s="37">
        <v>1539.84</v>
      </c>
      <c r="E68" s="37">
        <v>1539.84</v>
      </c>
      <c r="F68" s="37">
        <v>1539.84</v>
      </c>
      <c r="G68" s="37">
        <v>1539.84</v>
      </c>
      <c r="H68" s="37">
        <v>1539.84</v>
      </c>
      <c r="I68" s="37">
        <v>1539.84</v>
      </c>
      <c r="J68" s="37">
        <v>1539.84</v>
      </c>
      <c r="K68" s="37">
        <v>1539.84</v>
      </c>
      <c r="L68" s="29">
        <v>1595.52</v>
      </c>
      <c r="M68" s="29">
        <v>1595.52</v>
      </c>
      <c r="N68" s="29">
        <v>1595.52</v>
      </c>
      <c r="O68" s="29">
        <v>1595.52</v>
      </c>
    </row>
    <row r="69" ht="25" customHeight="1" spans="1:15">
      <c r="A69" s="28" t="s">
        <v>882</v>
      </c>
      <c r="B69" s="28" t="s">
        <v>885</v>
      </c>
      <c r="C69" s="28" t="s">
        <v>886</v>
      </c>
      <c r="D69" s="37">
        <v>769.92</v>
      </c>
      <c r="E69" s="37">
        <v>769.92</v>
      </c>
      <c r="F69" s="37">
        <v>769.92</v>
      </c>
      <c r="G69" s="37">
        <v>769.92</v>
      </c>
      <c r="H69" s="37">
        <v>769.92</v>
      </c>
      <c r="I69" s="37">
        <v>769.92</v>
      </c>
      <c r="J69" s="37">
        <v>769.92</v>
      </c>
      <c r="K69" s="37">
        <v>769.92</v>
      </c>
      <c r="L69" s="29">
        <v>797.76</v>
      </c>
      <c r="M69" s="29">
        <v>797.76</v>
      </c>
      <c r="N69" s="29">
        <v>797.76</v>
      </c>
      <c r="O69" s="29">
        <v>797.76</v>
      </c>
    </row>
    <row r="70" ht="25" customHeight="1" spans="1:15">
      <c r="A70" s="28" t="s">
        <v>887</v>
      </c>
      <c r="B70" s="28" t="s">
        <v>888</v>
      </c>
      <c r="C70" s="28" t="s">
        <v>884</v>
      </c>
      <c r="D70" s="37">
        <v>48.12</v>
      </c>
      <c r="E70" s="37">
        <v>48.12</v>
      </c>
      <c r="F70" s="37">
        <v>48.12</v>
      </c>
      <c r="G70" s="37">
        <v>48.12</v>
      </c>
      <c r="H70" s="37">
        <v>48.12</v>
      </c>
      <c r="I70" s="37">
        <v>48.12</v>
      </c>
      <c r="J70" s="37">
        <v>48.12</v>
      </c>
      <c r="K70" s="37">
        <v>48.12</v>
      </c>
      <c r="L70" s="29">
        <v>49.86</v>
      </c>
      <c r="M70" s="29">
        <v>49.86</v>
      </c>
      <c r="N70" s="29">
        <v>49.86</v>
      </c>
      <c r="O70" s="29">
        <v>49.86</v>
      </c>
    </row>
    <row r="71" ht="25" customHeight="1" spans="1:15">
      <c r="A71" s="28" t="s">
        <v>887</v>
      </c>
      <c r="B71" s="28" t="s">
        <v>889</v>
      </c>
      <c r="C71" s="28" t="s">
        <v>886</v>
      </c>
      <c r="D71" s="37">
        <v>48.12</v>
      </c>
      <c r="E71" s="37">
        <v>48.12</v>
      </c>
      <c r="F71" s="37">
        <v>48.12</v>
      </c>
      <c r="G71" s="37">
        <v>48.12</v>
      </c>
      <c r="H71" s="37">
        <v>48.12</v>
      </c>
      <c r="I71" s="37">
        <v>48.12</v>
      </c>
      <c r="J71" s="37">
        <v>48.12</v>
      </c>
      <c r="K71" s="37">
        <v>48.12</v>
      </c>
      <c r="L71" s="29">
        <v>49.86</v>
      </c>
      <c r="M71" s="29">
        <v>49.86</v>
      </c>
      <c r="N71" s="29">
        <v>49.86</v>
      </c>
      <c r="O71" s="29">
        <v>49.86</v>
      </c>
    </row>
    <row r="72" ht="25" customHeight="1" spans="1:15">
      <c r="A72" s="28" t="s">
        <v>890</v>
      </c>
      <c r="B72" s="28" t="s">
        <v>891</v>
      </c>
      <c r="C72" s="28" t="s">
        <v>892</v>
      </c>
      <c r="D72" s="37">
        <v>442.7</v>
      </c>
      <c r="E72" s="37">
        <v>442.7</v>
      </c>
      <c r="F72" s="37">
        <v>442.7</v>
      </c>
      <c r="G72" s="37">
        <v>442.7</v>
      </c>
      <c r="H72" s="37">
        <v>442.7</v>
      </c>
      <c r="I72" s="37">
        <v>442.7</v>
      </c>
      <c r="J72" s="37">
        <v>442.7</v>
      </c>
      <c r="K72" s="37">
        <v>442.7</v>
      </c>
      <c r="L72" s="29">
        <v>458.71</v>
      </c>
      <c r="M72" s="29">
        <v>458.71</v>
      </c>
      <c r="N72" s="29">
        <v>458.71</v>
      </c>
      <c r="O72" s="29">
        <v>458.71</v>
      </c>
    </row>
    <row r="73" ht="25" customHeight="1" spans="1:15">
      <c r="A73" s="28" t="s">
        <v>890</v>
      </c>
      <c r="B73" s="28" t="s">
        <v>891</v>
      </c>
      <c r="C73" s="28" t="s">
        <v>893</v>
      </c>
      <c r="D73" s="37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ht="25" customHeight="1" spans="1:15">
      <c r="A74" s="28" t="s">
        <v>890</v>
      </c>
      <c r="B74" s="28" t="s">
        <v>894</v>
      </c>
      <c r="C74" s="28" t="s">
        <v>895</v>
      </c>
      <c r="D74" s="37">
        <v>96.24</v>
      </c>
      <c r="E74" s="29">
        <v>96.24</v>
      </c>
      <c r="F74" s="29">
        <v>96.24</v>
      </c>
      <c r="G74" s="29">
        <v>96.24</v>
      </c>
      <c r="H74" s="29">
        <v>96.24</v>
      </c>
      <c r="I74" s="29">
        <v>96.24</v>
      </c>
      <c r="J74" s="29">
        <v>96.24</v>
      </c>
      <c r="K74" s="29">
        <v>96.24</v>
      </c>
      <c r="L74" s="29">
        <v>99.72</v>
      </c>
      <c r="M74" s="29">
        <v>99.72</v>
      </c>
      <c r="N74" s="29">
        <v>99.72</v>
      </c>
      <c r="O74" s="29">
        <v>99.72</v>
      </c>
    </row>
    <row r="75" ht="25" customHeight="1" spans="1:15">
      <c r="A75" s="28" t="s">
        <v>890</v>
      </c>
      <c r="B75" s="28" t="s">
        <v>896</v>
      </c>
      <c r="C75" s="28" t="s">
        <v>897</v>
      </c>
      <c r="D75" s="37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</row>
    <row r="76" ht="25" customHeight="1" spans="1:15">
      <c r="A76" s="28" t="s">
        <v>890</v>
      </c>
      <c r="B76" s="28" t="s">
        <v>896</v>
      </c>
      <c r="C76" s="28" t="s">
        <v>898</v>
      </c>
      <c r="D76" s="37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 ht="33" customHeight="1" spans="1:15">
      <c r="A77" s="28" t="s">
        <v>890</v>
      </c>
      <c r="B77" s="28" t="s">
        <v>896</v>
      </c>
      <c r="C77" s="28" t="s">
        <v>899</v>
      </c>
      <c r="D77" s="37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 ht="25" customHeight="1" spans="1:15">
      <c r="A78" s="28" t="s">
        <v>900</v>
      </c>
      <c r="B78" s="36" t="s">
        <v>901</v>
      </c>
      <c r="C78" s="36" t="s">
        <v>884</v>
      </c>
      <c r="D78" s="37">
        <v>26.94</v>
      </c>
      <c r="E78" s="29">
        <v>53.9</v>
      </c>
      <c r="F78" s="29">
        <v>53.9</v>
      </c>
      <c r="G78" s="29">
        <v>53.9</v>
      </c>
      <c r="H78" s="29">
        <v>53.9</v>
      </c>
      <c r="I78" s="29">
        <v>53.9</v>
      </c>
      <c r="J78" s="29">
        <v>53.9</v>
      </c>
      <c r="K78" s="29">
        <v>53.9</v>
      </c>
      <c r="L78" s="29">
        <v>55.84</v>
      </c>
      <c r="M78" s="29">
        <v>55.84</v>
      </c>
      <c r="N78" s="29">
        <v>55.84</v>
      </c>
      <c r="O78" s="29">
        <v>55.84</v>
      </c>
    </row>
    <row r="79" ht="25" customHeight="1" spans="1:15">
      <c r="A79" s="38" t="s">
        <v>902</v>
      </c>
      <c r="B79" s="39"/>
      <c r="C79" s="40"/>
      <c r="D79" s="41">
        <f>SUM(D68:D78)</f>
        <v>2971.88</v>
      </c>
      <c r="E79" s="41">
        <f t="shared" ref="E79:O79" si="5">SUM(E68:E78)</f>
        <v>2998.84</v>
      </c>
      <c r="F79" s="41">
        <f t="shared" si="5"/>
        <v>2998.84</v>
      </c>
      <c r="G79" s="41">
        <f t="shared" si="5"/>
        <v>2998.84</v>
      </c>
      <c r="H79" s="41">
        <f t="shared" si="5"/>
        <v>2998.84</v>
      </c>
      <c r="I79" s="41">
        <f t="shared" si="5"/>
        <v>2998.84</v>
      </c>
      <c r="J79" s="41">
        <f t="shared" si="5"/>
        <v>2998.84</v>
      </c>
      <c r="K79" s="41">
        <f t="shared" si="5"/>
        <v>2998.84</v>
      </c>
      <c r="L79" s="41">
        <f t="shared" si="5"/>
        <v>3107.27</v>
      </c>
      <c r="M79" s="41">
        <f t="shared" si="5"/>
        <v>3107.27</v>
      </c>
      <c r="N79" s="41">
        <f t="shared" si="5"/>
        <v>3107.27</v>
      </c>
      <c r="O79" s="41">
        <f t="shared" si="5"/>
        <v>3107.27</v>
      </c>
    </row>
    <row r="80" ht="25" customHeight="1" spans="1:15">
      <c r="A80" s="44"/>
      <c r="B80" s="44"/>
      <c r="C80" s="44"/>
      <c r="D80" s="41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ht="33" customHeight="1" spans="1:3">
      <c r="A81" s="25" t="s">
        <v>864</v>
      </c>
      <c r="B81" s="26"/>
      <c r="C81" s="26"/>
    </row>
    <row r="82" ht="25" customHeight="1" spans="1:10">
      <c r="A82" s="28">
        <v>1</v>
      </c>
      <c r="B82" s="28">
        <v>2</v>
      </c>
      <c r="C82" s="28">
        <v>3</v>
      </c>
      <c r="D82" s="42" t="s">
        <v>952</v>
      </c>
      <c r="E82" s="42" t="s">
        <v>953</v>
      </c>
      <c r="F82" s="42" t="s">
        <v>954</v>
      </c>
      <c r="G82" s="42" t="s">
        <v>955</v>
      </c>
      <c r="H82" s="42" t="s">
        <v>956</v>
      </c>
      <c r="I82" s="42" t="s">
        <v>957</v>
      </c>
      <c r="J82" s="42" t="s">
        <v>958</v>
      </c>
    </row>
    <row r="83" ht="25" customHeight="1" spans="1:10">
      <c r="A83" s="28" t="s">
        <v>878</v>
      </c>
      <c r="B83" s="28" t="s">
        <v>879</v>
      </c>
      <c r="C83" s="28" t="s">
        <v>880</v>
      </c>
      <c r="D83" s="31" t="s">
        <v>881</v>
      </c>
      <c r="E83" s="31" t="s">
        <v>881</v>
      </c>
      <c r="F83" s="31" t="s">
        <v>881</v>
      </c>
      <c r="G83" s="31" t="s">
        <v>881</v>
      </c>
      <c r="H83" s="31" t="s">
        <v>881</v>
      </c>
      <c r="I83" s="31" t="s">
        <v>881</v>
      </c>
      <c r="J83" s="31" t="s">
        <v>881</v>
      </c>
    </row>
    <row r="84" ht="25" customHeight="1" spans="1:10">
      <c r="A84" s="28" t="s">
        <v>882</v>
      </c>
      <c r="B84" s="28" t="s">
        <v>883</v>
      </c>
      <c r="C84" s="28" t="s">
        <v>884</v>
      </c>
      <c r="D84" s="41">
        <v>1595.52</v>
      </c>
      <c r="E84" s="41">
        <v>1595.52</v>
      </c>
      <c r="F84" s="41">
        <v>1596.52</v>
      </c>
      <c r="G84" s="41">
        <v>1596.52</v>
      </c>
      <c r="H84" s="41">
        <v>1596.52</v>
      </c>
      <c r="I84" s="29"/>
      <c r="J84" s="29"/>
    </row>
    <row r="85" ht="25" customHeight="1" spans="1:10">
      <c r="A85" s="28" t="s">
        <v>882</v>
      </c>
      <c r="B85" s="28" t="s">
        <v>885</v>
      </c>
      <c r="C85" s="28" t="s">
        <v>886</v>
      </c>
      <c r="D85" s="41">
        <v>797.76</v>
      </c>
      <c r="E85" s="41">
        <v>797.76</v>
      </c>
      <c r="F85" s="41">
        <v>797.76</v>
      </c>
      <c r="G85" s="41">
        <v>797.76</v>
      </c>
      <c r="H85" s="41">
        <v>797.76</v>
      </c>
      <c r="I85" s="29"/>
      <c r="J85" s="29"/>
    </row>
    <row r="86" ht="25" customHeight="1" spans="1:10">
      <c r="A86" s="28" t="s">
        <v>887</v>
      </c>
      <c r="B86" s="28" t="s">
        <v>888</v>
      </c>
      <c r="C86" s="28" t="s">
        <v>884</v>
      </c>
      <c r="D86" s="41">
        <v>49.86</v>
      </c>
      <c r="E86" s="41">
        <v>49.86</v>
      </c>
      <c r="F86" s="41">
        <v>49.86</v>
      </c>
      <c r="G86" s="41">
        <v>49.86</v>
      </c>
      <c r="H86" s="41">
        <v>49.86</v>
      </c>
      <c r="I86" s="29"/>
      <c r="J86" s="29"/>
    </row>
    <row r="87" ht="25" customHeight="1" spans="1:10">
      <c r="A87" s="28" t="s">
        <v>887</v>
      </c>
      <c r="B87" s="28" t="s">
        <v>889</v>
      </c>
      <c r="C87" s="28" t="s">
        <v>886</v>
      </c>
      <c r="D87" s="41">
        <v>49.86</v>
      </c>
      <c r="E87" s="41">
        <v>49.86</v>
      </c>
      <c r="F87" s="41">
        <v>49.86</v>
      </c>
      <c r="G87" s="41">
        <v>49.86</v>
      </c>
      <c r="H87" s="41">
        <v>49.86</v>
      </c>
      <c r="I87" s="29"/>
      <c r="J87" s="29"/>
    </row>
    <row r="88" ht="25" customHeight="1" spans="1:10">
      <c r="A88" s="28" t="s">
        <v>890</v>
      </c>
      <c r="B88" s="28" t="s">
        <v>891</v>
      </c>
      <c r="C88" s="28" t="s">
        <v>892</v>
      </c>
      <c r="D88" s="41">
        <v>458.71</v>
      </c>
      <c r="E88" s="41">
        <v>458.71</v>
      </c>
      <c r="F88" s="41">
        <v>458.71</v>
      </c>
      <c r="G88" s="41">
        <v>458.71</v>
      </c>
      <c r="H88" s="41">
        <v>458.71</v>
      </c>
      <c r="I88" s="29"/>
      <c r="J88" s="29"/>
    </row>
    <row r="89" ht="25" customHeight="1" spans="1:10">
      <c r="A89" s="28" t="s">
        <v>890</v>
      </c>
      <c r="B89" s="28" t="s">
        <v>891</v>
      </c>
      <c r="C89" s="28" t="s">
        <v>893</v>
      </c>
      <c r="D89" s="41"/>
      <c r="E89" s="41"/>
      <c r="F89" s="41"/>
      <c r="G89" s="41"/>
      <c r="H89" s="41"/>
      <c r="I89" s="29"/>
      <c r="J89" s="29"/>
    </row>
    <row r="90" ht="25" customHeight="1" spans="1:10">
      <c r="A90" s="28" t="s">
        <v>890</v>
      </c>
      <c r="B90" s="28" t="s">
        <v>894</v>
      </c>
      <c r="C90" s="28" t="s">
        <v>895</v>
      </c>
      <c r="D90" s="41">
        <v>99.72</v>
      </c>
      <c r="E90" s="41">
        <v>99.72</v>
      </c>
      <c r="F90" s="41">
        <v>99.72</v>
      </c>
      <c r="G90" s="41">
        <v>99.72</v>
      </c>
      <c r="H90" s="41">
        <v>99.72</v>
      </c>
      <c r="I90" s="29"/>
      <c r="J90" s="29"/>
    </row>
    <row r="91" ht="25" customHeight="1" spans="1:10">
      <c r="A91" s="28" t="s">
        <v>890</v>
      </c>
      <c r="B91" s="28" t="s">
        <v>896</v>
      </c>
      <c r="C91" s="28" t="s">
        <v>897</v>
      </c>
      <c r="D91" s="41"/>
      <c r="E91" s="41"/>
      <c r="F91" s="41"/>
      <c r="G91" s="41"/>
      <c r="H91" s="41"/>
      <c r="I91" s="29"/>
      <c r="J91" s="29"/>
    </row>
    <row r="92" ht="25" customHeight="1" spans="1:10">
      <c r="A92" s="28" t="s">
        <v>890</v>
      </c>
      <c r="B92" s="28" t="s">
        <v>896</v>
      </c>
      <c r="C92" s="28" t="s">
        <v>898</v>
      </c>
      <c r="D92" s="41"/>
      <c r="E92" s="29"/>
      <c r="F92" s="29"/>
      <c r="G92" s="29"/>
      <c r="H92" s="29"/>
      <c r="I92" s="29"/>
      <c r="J92" s="29"/>
    </row>
    <row r="93" ht="33" customHeight="1" spans="1:10">
      <c r="A93" s="28" t="s">
        <v>890</v>
      </c>
      <c r="B93" s="28" t="s">
        <v>896</v>
      </c>
      <c r="C93" s="28" t="s">
        <v>899</v>
      </c>
      <c r="D93" s="41"/>
      <c r="E93" s="29"/>
      <c r="F93" s="29"/>
      <c r="G93" s="29"/>
      <c r="H93" s="29"/>
      <c r="I93" s="29"/>
      <c r="J93" s="29"/>
    </row>
    <row r="94" ht="25" customHeight="1" spans="1:10">
      <c r="A94" s="28" t="s">
        <v>900</v>
      </c>
      <c r="B94" s="36" t="s">
        <v>901</v>
      </c>
      <c r="C94" s="36" t="s">
        <v>884</v>
      </c>
      <c r="D94" s="41">
        <v>55.84</v>
      </c>
      <c r="E94" s="29">
        <v>27.92</v>
      </c>
      <c r="F94" s="29">
        <v>27.92</v>
      </c>
      <c r="G94" s="29">
        <v>27.92</v>
      </c>
      <c r="H94" s="29">
        <v>27.92</v>
      </c>
      <c r="I94" s="29"/>
      <c r="J94" s="29"/>
    </row>
    <row r="95" ht="25" customHeight="1" spans="1:10">
      <c r="A95" s="38" t="s">
        <v>902</v>
      </c>
      <c r="B95" s="39"/>
      <c r="C95" s="40"/>
      <c r="D95" s="41">
        <v>3107.27</v>
      </c>
      <c r="E95" s="29">
        <v>3079.35</v>
      </c>
      <c r="F95" s="29">
        <v>3079.35</v>
      </c>
      <c r="G95" s="29">
        <v>3079.35</v>
      </c>
      <c r="H95" s="29">
        <v>3079.35</v>
      </c>
      <c r="I95" s="29"/>
      <c r="J95" s="29"/>
    </row>
    <row r="96" ht="25" customHeight="1" spans="1:10">
      <c r="A96" s="46"/>
      <c r="B96" s="46"/>
      <c r="C96" s="46"/>
      <c r="D96" s="41"/>
      <c r="E96" s="29"/>
      <c r="F96" s="29"/>
      <c r="G96" s="29"/>
      <c r="H96" s="29"/>
      <c r="I96" s="29"/>
      <c r="J96" s="29"/>
    </row>
  </sheetData>
  <mergeCells count="18">
    <mergeCell ref="A1:C1"/>
    <mergeCell ref="A15:C15"/>
    <mergeCell ref="A16:C16"/>
    <mergeCell ref="A17:C17"/>
    <mergeCell ref="A31:C31"/>
    <mergeCell ref="A32:C32"/>
    <mergeCell ref="A33:C33"/>
    <mergeCell ref="A47:C47"/>
    <mergeCell ref="A48:C48"/>
    <mergeCell ref="A49:C49"/>
    <mergeCell ref="A63:C63"/>
    <mergeCell ref="A64:C64"/>
    <mergeCell ref="A65:C65"/>
    <mergeCell ref="A79:C79"/>
    <mergeCell ref="A80:C80"/>
    <mergeCell ref="A81:C81"/>
    <mergeCell ref="A95:C95"/>
    <mergeCell ref="A96:C96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E6" sqref="E6"/>
    </sheetView>
  </sheetViews>
  <sheetFormatPr defaultColWidth="9" defaultRowHeight="13.5" outlineLevelCol="4"/>
  <cols>
    <col min="1" max="1" width="13" style="11" customWidth="1"/>
    <col min="2" max="2" width="9" style="12"/>
    <col min="3" max="3" width="29.125" style="12" customWidth="1"/>
    <col min="4" max="4" width="11.375" style="12" customWidth="1"/>
    <col min="5" max="5" width="11" style="13" customWidth="1"/>
    <col min="6" max="16384" width="9" style="12"/>
  </cols>
  <sheetData>
    <row r="1" ht="20" customHeight="1"/>
    <row r="2" ht="25" customHeight="1" spans="1:5">
      <c r="A2" s="14" t="s">
        <v>0</v>
      </c>
      <c r="B2" s="15" t="s">
        <v>1</v>
      </c>
      <c r="C2" s="15" t="s">
        <v>108</v>
      </c>
      <c r="D2" s="15" t="s">
        <v>3</v>
      </c>
      <c r="E2" s="16" t="s">
        <v>959</v>
      </c>
    </row>
    <row r="3" ht="25" customHeight="1" spans="1:5">
      <c r="A3" s="17">
        <v>44561</v>
      </c>
      <c r="B3" s="18">
        <v>6</v>
      </c>
      <c r="C3" s="18" t="s">
        <v>960</v>
      </c>
      <c r="D3" s="18" t="s">
        <v>961</v>
      </c>
      <c r="E3" s="19">
        <v>122.37</v>
      </c>
    </row>
    <row r="4" ht="25" customHeight="1" spans="1:5">
      <c r="A4" s="17">
        <v>44561</v>
      </c>
      <c r="B4" s="18">
        <v>7</v>
      </c>
      <c r="C4" s="18" t="s">
        <v>962</v>
      </c>
      <c r="D4" s="18" t="s">
        <v>961</v>
      </c>
      <c r="E4" s="19">
        <v>103.47</v>
      </c>
    </row>
    <row r="5" ht="25" customHeight="1" spans="1:5">
      <c r="A5" s="17">
        <v>44561</v>
      </c>
      <c r="B5" s="18">
        <v>8</v>
      </c>
      <c r="C5" s="18" t="s">
        <v>963</v>
      </c>
      <c r="D5" s="18" t="s">
        <v>961</v>
      </c>
      <c r="E5" s="19">
        <v>16.4</v>
      </c>
    </row>
    <row r="6" ht="25" customHeight="1" spans="1:5">
      <c r="A6" s="17">
        <v>44651</v>
      </c>
      <c r="B6" s="18">
        <v>7</v>
      </c>
      <c r="C6" s="18" t="s">
        <v>964</v>
      </c>
      <c r="D6" s="18" t="s">
        <v>961</v>
      </c>
      <c r="E6" s="19">
        <v>77.3</v>
      </c>
    </row>
    <row r="7" ht="25" customHeight="1" spans="1:5">
      <c r="A7" s="17">
        <v>44651</v>
      </c>
      <c r="B7" s="18">
        <v>8</v>
      </c>
      <c r="C7" s="18" t="s">
        <v>965</v>
      </c>
      <c r="D7" s="18" t="s">
        <v>961</v>
      </c>
      <c r="E7" s="19">
        <v>47.59</v>
      </c>
    </row>
    <row r="8" ht="25" customHeight="1" spans="1:5">
      <c r="A8" s="20">
        <v>45199</v>
      </c>
      <c r="B8" s="21">
        <v>8</v>
      </c>
      <c r="C8" s="18"/>
      <c r="D8" s="18"/>
      <c r="E8" s="19"/>
    </row>
    <row r="9" ht="25" customHeight="1" spans="1:5">
      <c r="A9" s="20">
        <v>45961</v>
      </c>
      <c r="B9" s="21">
        <v>5</v>
      </c>
      <c r="C9" s="18" t="s">
        <v>966</v>
      </c>
      <c r="D9" s="18" t="s">
        <v>961</v>
      </c>
      <c r="E9" s="19">
        <v>950.59</v>
      </c>
    </row>
    <row r="10" ht="25" customHeight="1" spans="1:5">
      <c r="A10" s="17"/>
      <c r="B10" s="18"/>
      <c r="C10" s="18"/>
      <c r="D10" s="18"/>
      <c r="E10" s="19"/>
    </row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1"/>
  <sheetViews>
    <sheetView topLeftCell="C1" workbookViewId="0">
      <selection activeCell="AE17" sqref="AE17"/>
    </sheetView>
  </sheetViews>
  <sheetFormatPr defaultColWidth="9" defaultRowHeight="13.5"/>
  <cols>
    <col min="1" max="16384" width="9" style="8"/>
  </cols>
  <sheetData>
    <row r="1" ht="25" customHeight="1"/>
    <row r="2" ht="25" customHeight="1" spans="2:49">
      <c r="B2" s="9" t="s">
        <v>967</v>
      </c>
      <c r="C2" s="9"/>
      <c r="D2" s="9" t="s">
        <v>968</v>
      </c>
      <c r="E2" s="9"/>
      <c r="F2" s="9" t="s">
        <v>969</v>
      </c>
      <c r="G2" s="9"/>
      <c r="H2" s="9" t="s">
        <v>970</v>
      </c>
      <c r="I2" s="9"/>
      <c r="J2" s="9" t="s">
        <v>971</v>
      </c>
      <c r="K2" s="9"/>
      <c r="L2" s="9" t="s">
        <v>972</v>
      </c>
      <c r="M2" s="9"/>
      <c r="N2" s="9" t="s">
        <v>973</v>
      </c>
      <c r="O2" s="9"/>
      <c r="P2" s="9" t="s">
        <v>974</v>
      </c>
      <c r="Q2" s="9"/>
      <c r="R2" s="9" t="s">
        <v>975</v>
      </c>
      <c r="S2" s="9"/>
      <c r="T2" s="9" t="s">
        <v>976</v>
      </c>
      <c r="U2" s="9"/>
      <c r="V2" s="9" t="s">
        <v>977</v>
      </c>
      <c r="W2" s="9"/>
      <c r="X2" s="9" t="s">
        <v>978</v>
      </c>
      <c r="Y2" s="9"/>
      <c r="Z2" s="9" t="s">
        <v>979</v>
      </c>
      <c r="AA2" s="9"/>
      <c r="AB2" s="9" t="s">
        <v>980</v>
      </c>
      <c r="AC2" s="9"/>
      <c r="AD2" s="9" t="s">
        <v>981</v>
      </c>
      <c r="AE2" s="9"/>
      <c r="AF2" s="9" t="s">
        <v>982</v>
      </c>
      <c r="AG2" s="9"/>
      <c r="AH2" s="9" t="s">
        <v>983</v>
      </c>
      <c r="AI2" s="9"/>
      <c r="AJ2" s="9" t="s">
        <v>984</v>
      </c>
      <c r="AK2" s="9"/>
      <c r="AL2" s="9" t="s">
        <v>985</v>
      </c>
      <c r="AM2" s="9"/>
      <c r="AN2" s="9" t="s">
        <v>986</v>
      </c>
      <c r="AO2" s="9"/>
      <c r="AP2" s="9" t="s">
        <v>987</v>
      </c>
      <c r="AQ2" s="9"/>
      <c r="AR2" s="9" t="s">
        <v>988</v>
      </c>
      <c r="AS2" s="9"/>
      <c r="AT2" s="9" t="s">
        <v>989</v>
      </c>
      <c r="AU2" s="9"/>
      <c r="AV2" s="9" t="s">
        <v>990</v>
      </c>
      <c r="AW2" s="9"/>
    </row>
    <row r="3" ht="25" customHeight="1" spans="2:49">
      <c r="B3" s="9" t="s">
        <v>991</v>
      </c>
      <c r="C3" s="9" t="s">
        <v>992</v>
      </c>
      <c r="D3" s="9" t="s">
        <v>991</v>
      </c>
      <c r="E3" s="9" t="s">
        <v>992</v>
      </c>
      <c r="F3" s="9" t="s">
        <v>991</v>
      </c>
      <c r="G3" s="9" t="s">
        <v>992</v>
      </c>
      <c r="H3" s="9" t="s">
        <v>991</v>
      </c>
      <c r="I3" s="9" t="s">
        <v>992</v>
      </c>
      <c r="J3" s="9" t="s">
        <v>991</v>
      </c>
      <c r="K3" s="9" t="s">
        <v>992</v>
      </c>
      <c r="L3" s="9" t="s">
        <v>991</v>
      </c>
      <c r="M3" s="9" t="s">
        <v>992</v>
      </c>
      <c r="N3" s="9" t="s">
        <v>991</v>
      </c>
      <c r="O3" s="9" t="s">
        <v>992</v>
      </c>
      <c r="P3" s="9" t="s">
        <v>991</v>
      </c>
      <c r="Q3" s="9" t="s">
        <v>992</v>
      </c>
      <c r="R3" s="9" t="s">
        <v>991</v>
      </c>
      <c r="S3" s="9" t="s">
        <v>992</v>
      </c>
      <c r="T3" s="9" t="s">
        <v>991</v>
      </c>
      <c r="U3" s="9" t="s">
        <v>992</v>
      </c>
      <c r="V3" s="9" t="s">
        <v>991</v>
      </c>
      <c r="W3" s="9" t="s">
        <v>992</v>
      </c>
      <c r="X3" s="9" t="s">
        <v>991</v>
      </c>
      <c r="Y3" s="9" t="s">
        <v>992</v>
      </c>
      <c r="Z3" s="9" t="s">
        <v>991</v>
      </c>
      <c r="AA3" s="9" t="s">
        <v>992</v>
      </c>
      <c r="AB3" s="9" t="s">
        <v>991</v>
      </c>
      <c r="AC3" s="9" t="s">
        <v>992</v>
      </c>
      <c r="AD3" s="9" t="s">
        <v>991</v>
      </c>
      <c r="AE3" s="9" t="s">
        <v>992</v>
      </c>
      <c r="AF3" s="9" t="s">
        <v>991</v>
      </c>
      <c r="AG3" s="9" t="s">
        <v>992</v>
      </c>
      <c r="AH3" s="9" t="s">
        <v>991</v>
      </c>
      <c r="AI3" s="9" t="s">
        <v>992</v>
      </c>
      <c r="AJ3" s="9" t="s">
        <v>991</v>
      </c>
      <c r="AK3" s="9" t="s">
        <v>992</v>
      </c>
      <c r="AL3" s="9" t="s">
        <v>991</v>
      </c>
      <c r="AM3" s="9" t="s">
        <v>992</v>
      </c>
      <c r="AN3" s="9" t="s">
        <v>991</v>
      </c>
      <c r="AO3" s="9" t="s">
        <v>992</v>
      </c>
      <c r="AP3" s="9" t="s">
        <v>991</v>
      </c>
      <c r="AQ3" s="9" t="s">
        <v>992</v>
      </c>
      <c r="AR3" s="9" t="s">
        <v>991</v>
      </c>
      <c r="AS3" s="9" t="s">
        <v>992</v>
      </c>
      <c r="AT3" s="9" t="s">
        <v>991</v>
      </c>
      <c r="AU3" s="9" t="s">
        <v>992</v>
      </c>
      <c r="AV3" s="9" t="s">
        <v>991</v>
      </c>
      <c r="AW3" s="9" t="s">
        <v>992</v>
      </c>
    </row>
    <row r="4" ht="25" customHeight="1" spans="2:49">
      <c r="B4" s="9">
        <v>995</v>
      </c>
      <c r="C4" s="9">
        <v>995</v>
      </c>
      <c r="D4" s="9">
        <v>995</v>
      </c>
      <c r="E4" s="9">
        <v>995</v>
      </c>
      <c r="F4" s="9">
        <v>995</v>
      </c>
      <c r="G4" s="9">
        <v>995</v>
      </c>
      <c r="H4" s="9">
        <v>995</v>
      </c>
      <c r="I4" s="9">
        <v>995</v>
      </c>
      <c r="J4" s="9">
        <v>995</v>
      </c>
      <c r="K4" s="9">
        <v>995</v>
      </c>
      <c r="L4" s="9">
        <v>995</v>
      </c>
      <c r="M4" s="9">
        <v>995</v>
      </c>
      <c r="N4" s="9">
        <v>993</v>
      </c>
      <c r="O4" s="9">
        <v>993</v>
      </c>
      <c r="P4" s="9">
        <v>993</v>
      </c>
      <c r="Q4" s="9">
        <v>993</v>
      </c>
      <c r="R4" s="9">
        <v>993</v>
      </c>
      <c r="S4" s="9">
        <v>993</v>
      </c>
      <c r="T4" s="9">
        <v>993</v>
      </c>
      <c r="U4" s="9">
        <v>993</v>
      </c>
      <c r="V4" s="9">
        <v>993</v>
      </c>
      <c r="W4" s="9">
        <v>993</v>
      </c>
      <c r="X4" s="9">
        <v>993</v>
      </c>
      <c r="Y4" s="9">
        <v>993</v>
      </c>
      <c r="Z4" s="9">
        <v>993</v>
      </c>
      <c r="AA4" s="9">
        <v>993</v>
      </c>
      <c r="AB4" s="9">
        <v>993</v>
      </c>
      <c r="AC4" s="9">
        <v>993</v>
      </c>
      <c r="AD4" s="9">
        <v>993</v>
      </c>
      <c r="AE4" s="9">
        <v>993</v>
      </c>
      <c r="AF4" s="9">
        <v>993</v>
      </c>
      <c r="AG4" s="9">
        <v>993</v>
      </c>
      <c r="AH4" s="9">
        <v>993</v>
      </c>
      <c r="AI4" s="9">
        <v>993</v>
      </c>
      <c r="AJ4" s="9">
        <v>993</v>
      </c>
      <c r="AK4" s="9">
        <v>993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ht="25" customHeight="1"/>
    <row r="6" ht="25" customHeight="1" spans="1:4">
      <c r="A6" s="8" t="s">
        <v>993</v>
      </c>
      <c r="B6" s="8" t="s">
        <v>601</v>
      </c>
      <c r="C6" s="8" t="s">
        <v>856</v>
      </c>
      <c r="D6" s="8" t="s">
        <v>855</v>
      </c>
    </row>
    <row r="7" ht="25" customHeight="1" spans="1:2">
      <c r="A7" s="8" t="s">
        <v>994</v>
      </c>
      <c r="B7" s="10">
        <v>3</v>
      </c>
    </row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</sheetData>
  <mergeCells count="24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C12" sqref="A12:C12"/>
    </sheetView>
  </sheetViews>
  <sheetFormatPr defaultColWidth="9" defaultRowHeight="13.5"/>
  <cols>
    <col min="1" max="1" width="11.5"/>
    <col min="3" max="3" width="31.5" customWidth="1"/>
    <col min="4" max="4" width="9.375" customWidth="1"/>
    <col min="5" max="5" width="13.75"/>
    <col min="6" max="6" width="16.75" customWidth="1"/>
    <col min="7" max="7" width="22.625" customWidth="1"/>
    <col min="8" max="8" width="12" customWidth="1"/>
  </cols>
  <sheetData>
    <row r="1" ht="20" customHeight="1"/>
    <row r="2" ht="20" customHeight="1" spans="1:9">
      <c r="A2" s="1" t="s">
        <v>0</v>
      </c>
      <c r="B2" s="2" t="s">
        <v>1</v>
      </c>
      <c r="C2" s="2" t="s">
        <v>108</v>
      </c>
      <c r="D2" s="2" t="s">
        <v>3</v>
      </c>
      <c r="E2" s="2" t="s">
        <v>959</v>
      </c>
      <c r="F2" s="2" t="s">
        <v>7</v>
      </c>
      <c r="G2" s="2" t="s">
        <v>995</v>
      </c>
      <c r="H2" s="2" t="s">
        <v>996</v>
      </c>
      <c r="I2" s="2" t="s">
        <v>12</v>
      </c>
    </row>
    <row r="3" ht="20" customHeight="1" spans="1:9">
      <c r="A3" s="3">
        <v>44712</v>
      </c>
      <c r="B3" s="4">
        <v>1</v>
      </c>
      <c r="C3" s="4" t="s">
        <v>997</v>
      </c>
      <c r="D3" s="4" t="s">
        <v>998</v>
      </c>
      <c r="E3" s="5">
        <v>5000</v>
      </c>
      <c r="F3" s="4" t="s">
        <v>130</v>
      </c>
      <c r="G3" s="4" t="s">
        <v>999</v>
      </c>
      <c r="H3" s="4" t="s">
        <v>1000</v>
      </c>
      <c r="I3" s="4"/>
    </row>
    <row r="4" ht="20" customHeight="1" spans="1:9">
      <c r="A4" s="3">
        <v>45199</v>
      </c>
      <c r="B4" s="4">
        <v>2</v>
      </c>
      <c r="C4" s="4" t="s">
        <v>1001</v>
      </c>
      <c r="D4" s="4" t="s">
        <v>1002</v>
      </c>
      <c r="E4" s="5">
        <v>106000</v>
      </c>
      <c r="F4" s="4" t="s">
        <v>130</v>
      </c>
      <c r="G4" s="4" t="s">
        <v>1003</v>
      </c>
      <c r="H4" s="4" t="s">
        <v>564</v>
      </c>
      <c r="I4" s="3"/>
    </row>
    <row r="5" ht="20" customHeight="1" spans="1:9">
      <c r="A5" s="3">
        <v>45596</v>
      </c>
      <c r="B5" s="4">
        <v>3</v>
      </c>
      <c r="C5" s="4" t="s">
        <v>1004</v>
      </c>
      <c r="D5" s="4" t="s">
        <v>998</v>
      </c>
      <c r="E5" s="5">
        <v>3000</v>
      </c>
      <c r="F5" s="4" t="s">
        <v>134</v>
      </c>
      <c r="G5" s="4"/>
      <c r="H5" s="4" t="s">
        <v>651</v>
      </c>
      <c r="I5" s="3" t="s">
        <v>1005</v>
      </c>
    </row>
    <row r="6" ht="20" customHeight="1" spans="1:9">
      <c r="A6" s="3"/>
      <c r="B6" s="4"/>
      <c r="C6" s="4"/>
      <c r="D6" s="4"/>
      <c r="E6" s="5"/>
      <c r="F6" s="4"/>
      <c r="G6" s="4"/>
      <c r="H6" s="4"/>
      <c r="I6" s="3"/>
    </row>
    <row r="7" ht="20" customHeight="1" spans="1:9">
      <c r="A7" s="6">
        <v>45991</v>
      </c>
      <c r="B7" s="7">
        <v>6</v>
      </c>
      <c r="C7" s="4" t="s">
        <v>1006</v>
      </c>
      <c r="D7" s="4"/>
      <c r="E7" s="5">
        <v>63.6</v>
      </c>
      <c r="F7" s="4" t="s">
        <v>1007</v>
      </c>
      <c r="G7" s="4" t="s">
        <v>1008</v>
      </c>
      <c r="H7" s="4" t="s">
        <v>1009</v>
      </c>
      <c r="I7" s="3"/>
    </row>
    <row r="8" ht="20" customHeight="1" spans="1:9">
      <c r="A8" s="3"/>
      <c r="B8" s="4"/>
      <c r="C8" s="4"/>
      <c r="D8" s="4"/>
      <c r="E8" s="5">
        <v>6.8</v>
      </c>
      <c r="F8" s="4" t="s">
        <v>1007</v>
      </c>
      <c r="G8" s="4" t="s">
        <v>1010</v>
      </c>
      <c r="H8" s="4" t="s">
        <v>1009</v>
      </c>
      <c r="I8" s="3"/>
    </row>
    <row r="9" ht="20" customHeight="1" spans="1:9">
      <c r="A9" s="3">
        <v>46081</v>
      </c>
      <c r="B9" s="4">
        <v>5</v>
      </c>
      <c r="C9" s="4" t="s">
        <v>1011</v>
      </c>
      <c r="D9" s="4" t="s">
        <v>998</v>
      </c>
      <c r="E9" s="5">
        <v>2000</v>
      </c>
      <c r="F9" s="4" t="s">
        <v>130</v>
      </c>
      <c r="G9" s="4" t="s">
        <v>1012</v>
      </c>
      <c r="H9" s="4" t="s">
        <v>1013</v>
      </c>
      <c r="I9" s="3"/>
    </row>
    <row r="10" ht="20" customHeight="1" spans="1:9">
      <c r="A10" s="3">
        <v>46082</v>
      </c>
      <c r="B10" s="4">
        <v>6</v>
      </c>
      <c r="C10" s="4" t="s">
        <v>1014</v>
      </c>
      <c r="D10" s="4" t="s">
        <v>998</v>
      </c>
      <c r="E10" s="5">
        <v>1000</v>
      </c>
      <c r="F10" s="4" t="s">
        <v>130</v>
      </c>
      <c r="G10" s="4" t="s">
        <v>1015</v>
      </c>
      <c r="H10" s="4" t="s">
        <v>1013</v>
      </c>
      <c r="I10" s="3"/>
    </row>
    <row r="11" ht="20" customHeight="1" spans="1:9">
      <c r="A11" s="3">
        <v>46081</v>
      </c>
      <c r="B11" s="4">
        <v>8</v>
      </c>
      <c r="C11" s="4" t="s">
        <v>1001</v>
      </c>
      <c r="D11" s="4" t="s">
        <v>1002</v>
      </c>
      <c r="E11" s="5">
        <v>1000</v>
      </c>
      <c r="F11" s="4" t="s">
        <v>130</v>
      </c>
      <c r="G11" s="4" t="s">
        <v>1016</v>
      </c>
      <c r="H11" s="4" t="s">
        <v>1013</v>
      </c>
      <c r="I11" s="3"/>
    </row>
    <row r="12" ht="20" customHeight="1" spans="4:9">
      <c r="D12" s="4"/>
      <c r="E12" s="5"/>
      <c r="F12" s="4"/>
      <c r="G12" s="4"/>
      <c r="H12" s="4"/>
      <c r="I12" s="3"/>
    </row>
    <row r="13" ht="20" customHeight="1"/>
    <row r="14" ht="20" customHeight="1"/>
    <row r="15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租金</vt:lpstr>
      <vt:lpstr>管理费用</vt:lpstr>
      <vt:lpstr>税金</vt:lpstr>
      <vt:lpstr>工资</vt:lpstr>
      <vt:lpstr>社保 </vt:lpstr>
      <vt:lpstr>营业外支出</vt:lpstr>
      <vt:lpstr>公积金</vt:lpstr>
      <vt:lpstr>其他应付款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2026-08-12T01:34:00Z</dcterms:created>
  <dcterms:modified xsi:type="dcterms:W3CDTF">2026-08-20T04:24:29Z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9F3E7B520015484EA19403CD9CD8D0DD_11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1</vt:i4>
  </property>
</Properties>
</file>